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codeName="ThisWorkbook"/>
  <mc:AlternateContent xmlns:mc="http://schemas.openxmlformats.org/markup-compatibility/2006">
    <mc:Choice Requires="x15">
      <x15ac:absPath xmlns:x15ac="http://schemas.microsoft.com/office/spreadsheetml/2010/11/ac" url="C:\Users\JWM-010\AppData\Local\Temp\360zip$Temp\360$1\"/>
    </mc:Choice>
  </mc:AlternateContent>
  <xr:revisionPtr revIDLastSave="0" documentId="13_ncr:1_{83D55B43-351E-40E9-9A3F-3E0B11D6BD12}" xr6:coauthVersionLast="47" xr6:coauthVersionMax="47" xr10:uidLastSave="{00000000-0000-0000-0000-000000000000}"/>
  <bookViews>
    <workbookView xWindow="-108" yWindow="-108" windowWidth="23256" windowHeight="12576" xr2:uid="{00000000-000D-0000-FFFF-FFFF00000000}"/>
  </bookViews>
  <sheets>
    <sheet name="function introduction" sheetId="2" r:id="rId1"/>
    <sheet name="file format" sheetId="3" r:id="rId2"/>
    <sheet name="downloaded data type" sheetId="6" r:id="rId3"/>
    <sheet name="instant" sheetId="4" r:id="rId4"/>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22" i="4" l="1"/>
  <c r="C17" i="4"/>
  <c r="C16" i="4"/>
  <c r="C15" i="4"/>
  <c r="C14" i="4"/>
  <c r="C13" i="4"/>
  <c r="C12" i="4"/>
  <c r="C11" i="4"/>
  <c r="C10" i="4"/>
  <c r="C9" i="4"/>
  <c r="C8" i="4"/>
  <c r="C7" i="4"/>
  <c r="C6" i="4"/>
  <c r="C5" i="4"/>
  <c r="C4" i="4"/>
  <c r="C3" i="4"/>
  <c r="C2" i="4"/>
  <c r="C1" i="4"/>
</calcChain>
</file>

<file path=xl/sharedStrings.xml><?xml version="1.0" encoding="utf-8"?>
<sst xmlns="http://schemas.openxmlformats.org/spreadsheetml/2006/main" count="290" uniqueCount="283">
  <si>
    <t>函数</t>
  </si>
  <si>
    <t>long OpenDevice()</t>
  </si>
  <si>
    <t>long CloseDevice()</t>
  </si>
  <si>
    <t>long GetDeviceId()</t>
  </si>
  <si>
    <t>long Verify(int val)</t>
  </si>
  <si>
    <t>val=0</t>
  </si>
  <si>
    <t>long SetDateTime(long year,long month,long day,long hour,long minute,long second)</t>
  </si>
  <si>
    <t>year 年，month 月,day 日,hour 时,minute 分,second 秒</t>
  </si>
  <si>
    <t>long GetRecords(char* filename,int encry)</t>
  </si>
  <si>
    <t>long ClearRecords()</t>
  </si>
  <si>
    <t>long SetAgent(char *agent)</t>
  </si>
  <si>
    <t>long GetAgent(char **agent)</t>
  </si>
  <si>
    <t>void SetReadDataCallback(onReadData readDataCallback)</t>
  </si>
  <si>
    <t>typedef void (__stdcall *onReadData)(long totalpackets,long currentpacket);</t>
  </si>
  <si>
    <t>long GetCallLog(char* mfilename)</t>
  </si>
  <si>
    <t>mFilename 为文件名称</t>
  </si>
  <si>
    <t>long  ClearCallLog()</t>
  </si>
  <si>
    <t>long SetCrash(int enabled,int param1,int param2)</t>
  </si>
  <si>
    <t>long GetCrash(char** param)</t>
  </si>
  <si>
    <t>long SetCallreminder(int mType)</t>
  </si>
  <si>
    <t>long GetCallreminder()</t>
  </si>
  <si>
    <t>long SetAutoSendInterval(int mInterval);</t>
  </si>
  <si>
    <t>long GetAutoSendInterval();</t>
  </si>
  <si>
    <t>long SetLowAutoSendInterval(int mInterval);</t>
  </si>
  <si>
    <t>long GetLowAutoSendInterval();</t>
  </si>
  <si>
    <t>long SetIpAndPort(char* ip,int port)</t>
  </si>
  <si>
    <t>L3</t>
  </si>
  <si>
    <t>long SetDomain(char* domain,char* dns,int port)</t>
  </si>
  <si>
    <t>long GetServerParam(char** sparam)</t>
  </si>
  <si>
    <t>出参：serveraddress:port 或 domain:port,dns</t>
  </si>
  <si>
    <t>long SetDialParam(char* apn, char* userid, char* password, char* pin1, char* pin2)</t>
  </si>
  <si>
    <t>long GetDialParam(char** sparam)</t>
  </si>
  <si>
    <t>long GetImei(char** imei)</t>
  </si>
  <si>
    <t>L3,F3,L6,P6</t>
  </si>
  <si>
    <t>long SetFinger(int hasFinger);</t>
  </si>
  <si>
    <t>Setup fingerprint function</t>
  </si>
  <si>
    <t>hasFinger=0无指纹功能 ,hasFinger=1有指纹功能</t>
  </si>
  <si>
    <t>long GetFinger();</t>
  </si>
  <si>
    <t xml:space="preserve">Read fingerprint function </t>
  </si>
  <si>
    <t>long RemoveFinger(long guardid);</t>
  </si>
  <si>
    <t>Delete fingerprint</t>
  </si>
  <si>
    <t>guardid 为人员编号</t>
  </si>
  <si>
    <t>long RemoveAllFinger();</t>
  </si>
  <si>
    <t>Delete all fingerprints</t>
  </si>
  <si>
    <t>long CollFingerEx(long guardid,char* fea,int alert);</t>
  </si>
  <si>
    <t>guardid:特征值序号(guardid&gt;0 and guardid&lt;10000),一个设备最多允许200个特征值
fea:采集的指纹特征值，
alert:提示标识，0，提示请抬起手指，1，提示采集成功</t>
  </si>
  <si>
    <t>一个手指至少采集3次，即一个手指至少有3个特征值</t>
  </si>
  <si>
    <t>long SetVoice(int hasVoice);</t>
  </si>
  <si>
    <t>Setup the voice prompt</t>
  </si>
  <si>
    <t>hasVoice=0 无,hasVoid=1 有</t>
  </si>
  <si>
    <t>long GetVoice()</t>
  </si>
  <si>
    <t>Read the voice prompt</t>
  </si>
  <si>
    <t>long SetAddressBook(char* addressBook)</t>
  </si>
  <si>
    <t>long GetAddressBook(char** addressBook)</t>
  </si>
  <si>
    <t>long SetSchedulers(char* scheduler)</t>
  </si>
  <si>
    <t>long GetSchedulers(char** scheduler)</t>
  </si>
  <si>
    <t>long GenerateVoiceFile(char* sysVoiceFolder,char* outputFolder,char* text)</t>
  </si>
  <si>
    <t>long SetCheckPoint(char* checkpoints);</t>
  </si>
  <si>
    <t>long GetMaxCheckPoint();</t>
  </si>
  <si>
    <t>long GetCheckPoint(Char** checkpoints);</t>
  </si>
  <si>
    <t>long DownloadVoice(char* filename);</t>
  </si>
  <si>
    <t>在读取、删除记录、校时间前需要调用 Verify(0)</t>
  </si>
  <si>
    <t>函数返回值 大于等于 0,与设备通讯成功，否则失败，失败原因见常量</t>
  </si>
  <si>
    <t>经度</t>
  </si>
  <si>
    <t>type</t>
  </si>
  <si>
    <t>lineid</t>
  </si>
  <si>
    <t>guardid</t>
  </si>
  <si>
    <t>siteid</t>
  </si>
  <si>
    <t>longtiude</t>
  </si>
  <si>
    <t>latitude</t>
  </si>
  <si>
    <t>speed</t>
  </si>
  <si>
    <t>sallites</t>
  </si>
  <si>
    <t>time</t>
  </si>
  <si>
    <t>content</t>
  </si>
  <si>
    <t>yyMMddHHmmss</t>
  </si>
  <si>
    <t>0 GPS</t>
  </si>
  <si>
    <t>MMddHHmmss</t>
  </si>
  <si>
    <t>1 EM</t>
  </si>
  <si>
    <t>地点数据</t>
  </si>
  <si>
    <t>地点卡</t>
  </si>
  <si>
    <t>地点名称</t>
  </si>
  <si>
    <t>事件</t>
  </si>
  <si>
    <t>维度</t>
  </si>
  <si>
    <t>半径</t>
  </si>
  <si>
    <t>sitename</t>
  </si>
  <si>
    <t>events</t>
  </si>
  <si>
    <t>longitude</t>
  </si>
  <si>
    <t>radius</t>
  </si>
  <si>
    <t>事件用()括起来，如果没有事件括号内为0</t>
  </si>
  <si>
    <t>RFID</t>
  </si>
  <si>
    <t xml:space="preserve">00AFCD11 site1 (1,2) 0.0 0.0 0
0F2C6002 site2 (0) 0.0 0.0 0
00A954A3 site3 (2) 0.0 0.0 0
00B66604 site4 (1,2,3) 0.0 0.0 0
07432D05 site5 (1) 0.0 0.0 0
</t>
  </si>
  <si>
    <t>人员卡号(或id)</t>
  </si>
  <si>
    <t>人员名称</t>
  </si>
  <si>
    <t>guardname</t>
  </si>
  <si>
    <t>00AFCD1A guard1
0F2C600B guard2
00A954AC guard3</t>
  </si>
  <si>
    <t>巡检事件</t>
  </si>
  <si>
    <t>事件id</t>
  </si>
  <si>
    <t>事件名称</t>
  </si>
  <si>
    <t>eventid</t>
  </si>
  <si>
    <t>eventname</t>
  </si>
  <si>
    <t>字段之间用 \t 分割</t>
  </si>
  <si>
    <t>UNSUPPORT</t>
  </si>
  <si>
    <t>-0x0001</t>
  </si>
  <si>
    <t>不支持该函数</t>
  </si>
  <si>
    <t>UNKNOWN</t>
  </si>
  <si>
    <t>-0x1000</t>
  </si>
  <si>
    <t>未知设备</t>
  </si>
  <si>
    <t>UNFOUND</t>
  </si>
  <si>
    <t>-0x1001</t>
  </si>
  <si>
    <t>未找到设备</t>
  </si>
  <si>
    <t>WRITEFAIL</t>
  </si>
  <si>
    <t>-0x1002</t>
  </si>
  <si>
    <t>写失败</t>
  </si>
  <si>
    <t>READFAIL</t>
  </si>
  <si>
    <t>-0x1003</t>
  </si>
  <si>
    <t>读取失败</t>
  </si>
  <si>
    <t>OPENFAIL</t>
  </si>
  <si>
    <t>-0x1004</t>
  </si>
  <si>
    <t>打开设备失败</t>
  </si>
  <si>
    <t>CONNECTFAIL</t>
  </si>
  <si>
    <t>-0x1005</t>
  </si>
  <si>
    <t>连接失败</t>
  </si>
  <si>
    <t>DEVICETYPEERROR</t>
  </si>
  <si>
    <t>-0x1006</t>
  </si>
  <si>
    <t>设备类别错误</t>
  </si>
  <si>
    <t>UNOPEND</t>
  </si>
  <si>
    <t>-0x1007</t>
  </si>
  <si>
    <t>没有调用 OpenDevice函数</t>
  </si>
  <si>
    <t>FILENAMENULL</t>
  </si>
  <si>
    <t>-0x1008</t>
  </si>
  <si>
    <t>文件名称为空</t>
  </si>
  <si>
    <t>FILEFAIL</t>
  </si>
  <si>
    <t>-0x1009</t>
  </si>
  <si>
    <t>创建文件失败</t>
  </si>
  <si>
    <t>UNFOUNDIMG</t>
  </si>
  <si>
    <t>-0x1010</t>
  </si>
  <si>
    <t>没有找到图片</t>
  </si>
  <si>
    <t>INITFAIL</t>
  </si>
  <si>
    <t>-0x1011</t>
  </si>
  <si>
    <t>初始化失败</t>
  </si>
  <si>
    <t>LOADDLLFAIL</t>
  </si>
  <si>
    <t>-0x1012</t>
  </si>
  <si>
    <t>加载DLL失败</t>
  </si>
  <si>
    <t>READFILEFAIL</t>
  </si>
  <si>
    <t>-0x1013</t>
  </si>
  <si>
    <t>打开文件失败</t>
  </si>
  <si>
    <t>WRITEFILEFAIL</t>
  </si>
  <si>
    <t>-0x1014</t>
  </si>
  <si>
    <t>写文件失败</t>
  </si>
  <si>
    <t>DEVICEMIS</t>
  </si>
  <si>
    <t>-0x1015</t>
  </si>
  <si>
    <t>设备丢失</t>
  </si>
  <si>
    <t>VERIFYFAIL</t>
  </si>
  <si>
    <t>-0x1016</t>
  </si>
  <si>
    <t>校验失败</t>
  </si>
  <si>
    <t>MEDIAFAIL</t>
  </si>
  <si>
    <t>-0x1017</t>
  </si>
  <si>
    <t>CONFIGFAIL</t>
  </si>
  <si>
    <t>-0x1018</t>
  </si>
  <si>
    <t xml:space="preserve">配置失败 </t>
  </si>
  <si>
    <t>UARTENABLEFAIL</t>
  </si>
  <si>
    <t>-0x1019</t>
  </si>
  <si>
    <t>开启串口失败</t>
  </si>
  <si>
    <t>READTIMEOUT</t>
  </si>
  <si>
    <t>-0x1020</t>
  </si>
  <si>
    <t>读取超时</t>
  </si>
  <si>
    <t>no suppported function</t>
    <phoneticPr fontId="4" type="noConversion"/>
  </si>
  <si>
    <t>unknow device</t>
    <phoneticPr fontId="4" type="noConversion"/>
  </si>
  <si>
    <t>unfound device</t>
    <phoneticPr fontId="4" type="noConversion"/>
  </si>
  <si>
    <t>write failed</t>
    <phoneticPr fontId="4" type="noConversion"/>
  </si>
  <si>
    <t>read failed</t>
    <phoneticPr fontId="4" type="noConversion"/>
  </si>
  <si>
    <t>open device failed</t>
    <phoneticPr fontId="4" type="noConversion"/>
  </si>
  <si>
    <t>connect failed</t>
    <phoneticPr fontId="4" type="noConversion"/>
  </si>
  <si>
    <t>wrong device type</t>
    <phoneticPr fontId="4" type="noConversion"/>
  </si>
  <si>
    <t>No call the function "opendevice"</t>
    <phoneticPr fontId="4" type="noConversion"/>
  </si>
  <si>
    <t>file name is empty</t>
    <phoneticPr fontId="4" type="noConversion"/>
  </si>
  <si>
    <t>create file failed</t>
    <phoneticPr fontId="4" type="noConversion"/>
  </si>
  <si>
    <t>no find picture</t>
    <phoneticPr fontId="4" type="noConversion"/>
  </si>
  <si>
    <t>initialization failed</t>
    <phoneticPr fontId="4" type="noConversion"/>
  </si>
  <si>
    <t>load DLL failed</t>
    <phoneticPr fontId="4" type="noConversion"/>
  </si>
  <si>
    <t>open file failed</t>
    <phoneticPr fontId="4" type="noConversion"/>
  </si>
  <si>
    <t>write file failed</t>
    <phoneticPr fontId="4" type="noConversion"/>
  </si>
  <si>
    <t>device is lost</t>
    <phoneticPr fontId="4" type="noConversion"/>
  </si>
  <si>
    <t>verification is failed</t>
    <phoneticPr fontId="4" type="noConversion"/>
  </si>
  <si>
    <t>configuration is failed</t>
    <phoneticPr fontId="4" type="noConversion"/>
  </si>
  <si>
    <t>serial port open failed</t>
    <phoneticPr fontId="4" type="noConversion"/>
  </si>
  <si>
    <t>read timeout</t>
    <phoneticPr fontId="4" type="noConversion"/>
  </si>
  <si>
    <t>GPS</t>
  </si>
  <si>
    <r>
      <t>i</t>
    </r>
    <r>
      <rPr>
        <sz val="11"/>
        <color theme="1"/>
        <rFont val="宋体"/>
        <family val="3"/>
        <charset val="134"/>
        <scheme val="minor"/>
      </rPr>
      <t>ncident use (), otherwise (0)</t>
    </r>
    <phoneticPr fontId="4" type="noConversion"/>
  </si>
  <si>
    <t>00000001 gps1 (1,2) 123.123421 41.456185 15
00000002 gps2 (0) 123.125445 41.456786 25
00000003 gps3 (2) 123.128467 41.456789 35
00000004 gps4 (1,2,3) 123.123499 41.456281 15
00000005 gps5 (1) 123.123432 41.455785 15</t>
  </si>
  <si>
    <r>
      <t xml:space="preserve">人员数据 </t>
    </r>
    <r>
      <rPr>
        <sz val="11"/>
        <color theme="1"/>
        <rFont val="宋体"/>
        <family val="3"/>
        <charset val="134"/>
        <scheme val="minor"/>
      </rPr>
      <t>guard data</t>
    </r>
    <phoneticPr fontId="4" type="noConversion"/>
  </si>
  <si>
    <r>
      <t>f</t>
    </r>
    <r>
      <rPr>
        <sz val="11"/>
        <color theme="1"/>
        <rFont val="宋体"/>
        <family val="3"/>
        <charset val="134"/>
        <scheme val="minor"/>
      </rPr>
      <t>ield is divided by\t</t>
    </r>
    <phoneticPr fontId="4" type="noConversion"/>
  </si>
  <si>
    <t>记录record</t>
    <phoneticPr fontId="4" type="noConversion"/>
  </si>
  <si>
    <t>heading</t>
  </si>
  <si>
    <t>Image Identification</t>
  </si>
  <si>
    <t>steps</t>
  </si>
  <si>
    <r>
      <rPr>
        <sz val="11"/>
        <color theme="1"/>
        <rFont val="宋体"/>
        <family val="3"/>
        <charset val="134"/>
      </rPr>
      <t xml:space="preserve">0 </t>
    </r>
    <r>
      <rPr>
        <sz val="11"/>
        <color theme="1"/>
        <rFont val="宋体"/>
        <family val="3"/>
        <charset val="134"/>
      </rPr>
      <t>Track data</t>
    </r>
  </si>
  <si>
    <t>()</t>
  </si>
  <si>
    <r>
      <rPr>
        <sz val="11"/>
        <color theme="1"/>
        <rFont val="宋体"/>
        <family val="3"/>
        <charset val="134"/>
      </rPr>
      <t>1 Positioning Data</t>
    </r>
    <r>
      <rPr>
        <sz val="11"/>
        <color theme="1"/>
        <rFont val="宋体"/>
        <family val="3"/>
        <charset val="134"/>
      </rPr>
      <t xml:space="preserve"> of GPS  </t>
    </r>
  </si>
  <si>
    <t>2 Positioning Data of Tags</t>
  </si>
  <si>
    <t>3 Low-Battery Data</t>
  </si>
  <si>
    <t xml:space="preserve">4 Manually Alarm Data </t>
  </si>
  <si>
    <t>5 Random Events Logs</t>
  </si>
  <si>
    <t>6 Opening Device Event Logs</t>
  </si>
  <si>
    <t>7 Video Logs</t>
  </si>
  <si>
    <t>8 Picture Logs</t>
  </si>
  <si>
    <t>9 Impact Logs</t>
  </si>
  <si>
    <t>10 Static Alarm</t>
  </si>
  <si>
    <r>
      <rPr>
        <sz val="11"/>
        <color theme="1"/>
        <rFont val="宋体"/>
        <family val="3"/>
        <charset val="134"/>
      </rPr>
      <t>11</t>
    </r>
    <r>
      <rPr>
        <sz val="11"/>
        <color theme="1"/>
        <rFont val="宋体"/>
        <family val="3"/>
        <charset val="134"/>
      </rPr>
      <t xml:space="preserve"> Slant Alarm</t>
    </r>
  </si>
  <si>
    <r>
      <t>采点数据</t>
    </r>
    <r>
      <rPr>
        <sz val="11"/>
        <color rgb="FFFF0000"/>
        <rFont val="宋体"/>
        <family val="3"/>
        <charset val="134"/>
        <scheme val="minor"/>
      </rPr>
      <t>collection data</t>
    </r>
  </si>
  <si>
    <r>
      <t>数据类别</t>
    </r>
    <r>
      <rPr>
        <sz val="11"/>
        <color rgb="FFFF0000"/>
        <rFont val="宋体"/>
        <family val="3"/>
        <charset val="134"/>
        <scheme val="minor"/>
      </rPr>
      <t>data type</t>
    </r>
    <phoneticPr fontId="4" type="noConversion"/>
  </si>
  <si>
    <r>
      <t>地点</t>
    </r>
    <r>
      <rPr>
        <sz val="11"/>
        <color rgb="FFFF0000"/>
        <rFont val="宋体"/>
        <family val="3"/>
        <charset val="134"/>
        <scheme val="minor"/>
      </rPr>
      <t>id</t>
    </r>
    <phoneticPr fontId="4" type="noConversion"/>
  </si>
  <si>
    <r>
      <t>经度</t>
    </r>
    <r>
      <rPr>
        <sz val="11"/>
        <color rgb="FFFF0000"/>
        <rFont val="宋体"/>
        <family val="3"/>
        <charset val="134"/>
        <scheme val="minor"/>
      </rPr>
      <t>longitude</t>
    </r>
    <phoneticPr fontId="4" type="noConversion"/>
  </si>
  <si>
    <r>
      <t>纬度</t>
    </r>
    <r>
      <rPr>
        <sz val="11"/>
        <color rgb="FFFF0000"/>
        <rFont val="宋体"/>
        <family val="3"/>
        <charset val="134"/>
        <scheme val="minor"/>
      </rPr>
      <t>latitude</t>
    </r>
    <phoneticPr fontId="4" type="noConversion"/>
  </si>
  <si>
    <r>
      <t>时间</t>
    </r>
    <r>
      <rPr>
        <sz val="11"/>
        <color rgb="FFFF0000"/>
        <rFont val="宋体"/>
        <family val="3"/>
        <charset val="134"/>
        <scheme val="minor"/>
      </rPr>
      <t>time</t>
    </r>
    <phoneticPr fontId="4" type="noConversion"/>
  </si>
  <si>
    <t>Use tab to divide each field</t>
    <phoneticPr fontId="4" type="noConversion"/>
  </si>
  <si>
    <r>
      <t xml:space="preserve">功能 </t>
    </r>
    <r>
      <rPr>
        <sz val="11"/>
        <color rgb="FFFF0000"/>
        <rFont val="宋体"/>
        <family val="3"/>
        <charset val="134"/>
        <scheme val="minor"/>
      </rPr>
      <t>Function</t>
    </r>
    <phoneticPr fontId="4" type="noConversion"/>
  </si>
  <si>
    <r>
      <t xml:space="preserve">开启设备 </t>
    </r>
    <r>
      <rPr>
        <sz val="11"/>
        <color rgb="FFFF0000"/>
        <rFont val="宋体"/>
        <family val="3"/>
        <charset val="134"/>
        <scheme val="minor"/>
      </rPr>
      <t>open device</t>
    </r>
    <phoneticPr fontId="4" type="noConversion"/>
  </si>
  <si>
    <r>
      <t xml:space="preserve">关闭设备 </t>
    </r>
    <r>
      <rPr>
        <sz val="11"/>
        <color rgb="FFFF0000"/>
        <rFont val="宋体"/>
        <family val="3"/>
        <charset val="134"/>
        <scheme val="minor"/>
      </rPr>
      <t>close device</t>
    </r>
    <phoneticPr fontId="4" type="noConversion"/>
  </si>
  <si>
    <r>
      <t xml:space="preserve">读取设备ID </t>
    </r>
    <r>
      <rPr>
        <sz val="11"/>
        <color rgb="FFFF0000"/>
        <rFont val="宋体"/>
        <family val="3"/>
        <charset val="134"/>
        <scheme val="minor"/>
      </rPr>
      <t>read device ID</t>
    </r>
    <phoneticPr fontId="4" type="noConversion"/>
  </si>
  <si>
    <r>
      <t xml:space="preserve">校验 </t>
    </r>
    <r>
      <rPr>
        <sz val="11"/>
        <color rgb="FFFF0000"/>
        <rFont val="宋体"/>
        <family val="3"/>
        <charset val="134"/>
        <scheme val="minor"/>
      </rPr>
      <t>verify</t>
    </r>
    <phoneticPr fontId="4" type="noConversion"/>
  </si>
  <si>
    <r>
      <t>校时</t>
    </r>
    <r>
      <rPr>
        <sz val="11"/>
        <color rgb="FFFF0000"/>
        <rFont val="宋体"/>
        <family val="3"/>
        <charset val="134"/>
        <scheme val="minor"/>
      </rPr>
      <t xml:space="preserve"> timing</t>
    </r>
    <phoneticPr fontId="4" type="noConversion"/>
  </si>
  <si>
    <r>
      <t xml:space="preserve">读取记录 </t>
    </r>
    <r>
      <rPr>
        <sz val="11"/>
        <color rgb="FFFF0000"/>
        <rFont val="宋体"/>
        <family val="3"/>
        <charset val="134"/>
        <scheme val="minor"/>
      </rPr>
      <t>read record</t>
    </r>
    <phoneticPr fontId="4" type="noConversion"/>
  </si>
  <si>
    <r>
      <t xml:space="preserve">清除记录 </t>
    </r>
    <r>
      <rPr>
        <sz val="11"/>
        <color rgb="FFFF0000"/>
        <rFont val="宋体"/>
        <family val="3"/>
        <charset val="134"/>
        <scheme val="minor"/>
      </rPr>
      <t>clear record</t>
    </r>
    <phoneticPr fontId="4" type="noConversion"/>
  </si>
  <si>
    <r>
      <t xml:space="preserve">设置代理商信息 </t>
    </r>
    <r>
      <rPr>
        <sz val="11"/>
        <color theme="5"/>
        <rFont val="宋体"/>
        <family val="3"/>
        <charset val="134"/>
        <scheme val="minor"/>
      </rPr>
      <t>Set agent information</t>
    </r>
    <phoneticPr fontId="4" type="noConversion"/>
  </si>
  <si>
    <r>
      <t xml:space="preserve">读取代理商信息 </t>
    </r>
    <r>
      <rPr>
        <sz val="11"/>
        <color theme="5"/>
        <rFont val="宋体"/>
        <family val="3"/>
        <charset val="134"/>
        <scheme val="minor"/>
      </rPr>
      <t>Read agent information</t>
    </r>
    <phoneticPr fontId="4" type="noConversion"/>
  </si>
  <si>
    <r>
      <t xml:space="preserve">设置读取记录回调 </t>
    </r>
    <r>
      <rPr>
        <sz val="11"/>
        <color rgb="FFFF0000"/>
        <rFont val="宋体"/>
        <family val="3"/>
        <charset val="134"/>
        <scheme val="minor"/>
      </rPr>
      <t>set read record call back</t>
    </r>
    <phoneticPr fontId="4" type="noConversion"/>
  </si>
  <si>
    <r>
      <t>参数说明P</t>
    </r>
    <r>
      <rPr>
        <sz val="11"/>
        <color theme="1"/>
        <rFont val="宋体"/>
        <family val="3"/>
        <charset val="134"/>
        <scheme val="minor"/>
      </rPr>
      <t>arameter</t>
    </r>
    <phoneticPr fontId="4" type="noConversion"/>
  </si>
  <si>
    <r>
      <t>filename 全路径的文件名称 (</t>
    </r>
    <r>
      <rPr>
        <sz val="11"/>
        <color rgb="FFFF0000"/>
        <rFont val="宋体"/>
        <family val="3"/>
        <charset val="134"/>
        <scheme val="minor"/>
      </rPr>
      <t>file name of full path</t>
    </r>
    <r>
      <rPr>
        <sz val="11"/>
        <color theme="1"/>
        <rFont val="宋体"/>
        <family val="3"/>
        <charset val="134"/>
        <scheme val="minor"/>
      </rPr>
      <t>),encry=0</t>
    </r>
    <phoneticPr fontId="4" type="noConversion"/>
  </si>
  <si>
    <r>
      <t>filename 全路径的文件名称 (</t>
    </r>
    <r>
      <rPr>
        <sz val="11"/>
        <color rgb="FFFF0000"/>
        <rFont val="宋体"/>
        <family val="3"/>
        <charset val="134"/>
        <scheme val="minor"/>
      </rPr>
      <t>file name of full path</t>
    </r>
    <r>
      <rPr>
        <sz val="11"/>
        <color theme="1"/>
        <rFont val="宋体"/>
        <family val="3"/>
        <charset val="134"/>
        <scheme val="minor"/>
      </rPr>
      <t>)</t>
    </r>
    <phoneticPr fontId="4" type="noConversion"/>
  </si>
  <si>
    <r>
      <t xml:space="preserve">代理商信息 </t>
    </r>
    <r>
      <rPr>
        <sz val="11"/>
        <color theme="5"/>
        <rFont val="宋体"/>
        <family val="3"/>
        <charset val="134"/>
        <scheme val="minor"/>
      </rPr>
      <t>agent information</t>
    </r>
    <phoneticPr fontId="4" type="noConversion"/>
  </si>
  <si>
    <t>出参：代理商信息 output parameter:agent information</t>
    <phoneticPr fontId="4" type="noConversion"/>
  </si>
  <si>
    <r>
      <t>返回值r</t>
    </r>
    <r>
      <rPr>
        <sz val="11"/>
        <color theme="1"/>
        <rFont val="宋体"/>
        <family val="3"/>
        <charset val="134"/>
        <scheme val="minor"/>
      </rPr>
      <t>eturn value</t>
    </r>
    <phoneticPr fontId="4" type="noConversion"/>
  </si>
  <si>
    <r>
      <t>设备类别d</t>
    </r>
    <r>
      <rPr>
        <sz val="11"/>
        <color theme="1"/>
        <rFont val="宋体"/>
        <family val="3"/>
        <charset val="134"/>
        <scheme val="minor"/>
      </rPr>
      <t>evice type</t>
    </r>
    <phoneticPr fontId="4" type="noConversion"/>
  </si>
  <si>
    <r>
      <t xml:space="preserve">设备号码 </t>
    </r>
    <r>
      <rPr>
        <sz val="11"/>
        <color theme="1"/>
        <rFont val="宋体"/>
        <family val="3"/>
        <charset val="134"/>
        <scheme val="minor"/>
      </rPr>
      <t>device ID</t>
    </r>
    <phoneticPr fontId="4" type="noConversion"/>
  </si>
  <si>
    <r>
      <t>支持设备s</t>
    </r>
    <r>
      <rPr>
        <sz val="11"/>
        <color theme="1"/>
        <rFont val="宋体"/>
        <family val="3"/>
        <charset val="134"/>
        <scheme val="minor"/>
      </rPr>
      <t>upported device</t>
    </r>
    <phoneticPr fontId="4" type="noConversion"/>
  </si>
  <si>
    <r>
      <t>备注r</t>
    </r>
    <r>
      <rPr>
        <sz val="11"/>
        <color theme="1"/>
        <rFont val="宋体"/>
        <family val="3"/>
        <charset val="134"/>
        <scheme val="minor"/>
      </rPr>
      <t>emark</t>
    </r>
    <phoneticPr fontId="4" type="noConversion"/>
  </si>
  <si>
    <r>
      <t xml:space="preserve">读取通话记录 </t>
    </r>
    <r>
      <rPr>
        <sz val="11"/>
        <color theme="1"/>
        <rFont val="宋体"/>
        <family val="3"/>
        <charset val="134"/>
        <scheme val="minor"/>
      </rPr>
      <t>read call log</t>
    </r>
    <phoneticPr fontId="4" type="noConversion"/>
  </si>
  <si>
    <r>
      <t xml:space="preserve">清除通话记录 </t>
    </r>
    <r>
      <rPr>
        <sz val="11"/>
        <color theme="1"/>
        <rFont val="宋体"/>
        <family val="3"/>
        <charset val="134"/>
        <scheme val="minor"/>
      </rPr>
      <t>clear call log</t>
    </r>
    <phoneticPr fontId="4" type="noConversion"/>
  </si>
  <si>
    <r>
      <t xml:space="preserve">设置摔碰功能 </t>
    </r>
    <r>
      <rPr>
        <sz val="11"/>
        <color theme="1"/>
        <rFont val="宋体"/>
        <family val="3"/>
        <charset val="134"/>
        <scheme val="minor"/>
      </rPr>
      <t>set impact detect function</t>
    </r>
    <phoneticPr fontId="4" type="noConversion"/>
  </si>
  <si>
    <r>
      <t>读取摔碰功能</t>
    </r>
    <r>
      <rPr>
        <sz val="11"/>
        <color theme="1"/>
        <rFont val="宋体"/>
        <family val="3"/>
        <charset val="134"/>
        <scheme val="minor"/>
      </rPr>
      <t xml:space="preserve"> </t>
    </r>
    <r>
      <rPr>
        <sz val="11"/>
        <color theme="1"/>
        <rFont val="宋体"/>
        <charset val="134"/>
        <scheme val="minor"/>
      </rPr>
      <t>r</t>
    </r>
    <r>
      <rPr>
        <sz val="11"/>
        <color theme="1"/>
        <rFont val="宋体"/>
        <family val="3"/>
        <charset val="134"/>
        <scheme val="minor"/>
      </rPr>
      <t>ead impact detect function</t>
    </r>
    <phoneticPr fontId="4" type="noConversion"/>
  </si>
  <si>
    <r>
      <t xml:space="preserve">enabled = 0 ，1 </t>
    </r>
    <r>
      <rPr>
        <sz val="11"/>
        <color theme="1"/>
        <rFont val="宋体"/>
        <family val="3"/>
        <charset val="134"/>
        <scheme val="minor"/>
      </rPr>
      <t>disable</t>
    </r>
    <r>
      <rPr>
        <sz val="11"/>
        <color theme="1"/>
        <rFont val="宋体"/>
        <charset val="134"/>
        <scheme val="minor"/>
      </rPr>
      <t xml:space="preserve">。param1,param2 1000~7000 </t>
    </r>
    <phoneticPr fontId="4" type="noConversion"/>
  </si>
  <si>
    <r>
      <t xml:space="preserve">来电提醒方式 </t>
    </r>
    <r>
      <rPr>
        <sz val="11"/>
        <color theme="1"/>
        <rFont val="宋体"/>
        <family val="3"/>
        <charset val="134"/>
        <scheme val="minor"/>
      </rPr>
      <t>set call reminder</t>
    </r>
    <phoneticPr fontId="4" type="noConversion"/>
  </si>
  <si>
    <r>
      <t>mType: 0</t>
    </r>
    <r>
      <rPr>
        <sz val="11"/>
        <color theme="1"/>
        <rFont val="宋体"/>
        <family val="3"/>
        <charset val="134"/>
        <scheme val="minor"/>
      </rPr>
      <t xml:space="preserve"> silence</t>
    </r>
    <r>
      <rPr>
        <sz val="11"/>
        <color theme="1"/>
        <rFont val="宋体"/>
        <charset val="134"/>
        <scheme val="minor"/>
      </rPr>
      <t>，1</t>
    </r>
    <r>
      <rPr>
        <sz val="11"/>
        <color theme="1"/>
        <rFont val="宋体"/>
        <family val="3"/>
        <charset val="134"/>
        <scheme val="minor"/>
      </rPr>
      <t xml:space="preserve"> vibration</t>
    </r>
    <r>
      <rPr>
        <sz val="11"/>
        <color theme="1"/>
        <rFont val="宋体"/>
        <charset val="134"/>
        <scheme val="minor"/>
      </rPr>
      <t>，2</t>
    </r>
    <r>
      <rPr>
        <sz val="11"/>
        <color theme="1"/>
        <rFont val="宋体"/>
        <family val="3"/>
        <charset val="134"/>
        <scheme val="minor"/>
      </rPr>
      <t>ring</t>
    </r>
    <r>
      <rPr>
        <sz val="11"/>
        <color theme="1"/>
        <rFont val="宋体"/>
        <charset val="134"/>
        <scheme val="minor"/>
      </rPr>
      <t>，3</t>
    </r>
    <r>
      <rPr>
        <sz val="11"/>
        <color theme="1"/>
        <rFont val="宋体"/>
        <family val="3"/>
        <charset val="134"/>
        <scheme val="minor"/>
      </rPr>
      <t>vibration+ring</t>
    </r>
    <phoneticPr fontId="4" type="noConversion"/>
  </si>
  <si>
    <r>
      <t xml:space="preserve">读取来电提醒方式 </t>
    </r>
    <r>
      <rPr>
        <sz val="11"/>
        <color theme="1"/>
        <rFont val="宋体"/>
        <family val="3"/>
        <charset val="134"/>
        <scheme val="minor"/>
      </rPr>
      <t>read call reminder</t>
    </r>
    <phoneticPr fontId="4" type="noConversion"/>
  </si>
  <si>
    <r>
      <t xml:space="preserve">自动重发发送时间间隔 单位秒 </t>
    </r>
    <r>
      <rPr>
        <sz val="11"/>
        <color rgb="FFFF0000"/>
        <rFont val="宋体"/>
        <family val="3"/>
        <charset val="134"/>
        <scheme val="minor"/>
      </rPr>
      <t>interval of auto sending (second)</t>
    </r>
    <phoneticPr fontId="4" type="noConversion"/>
  </si>
  <si>
    <r>
      <t xml:space="preserve">读取自动重发时间间隔 </t>
    </r>
    <r>
      <rPr>
        <sz val="11"/>
        <color rgb="FFFF0000"/>
        <rFont val="宋体"/>
        <family val="3"/>
        <charset val="134"/>
        <scheme val="minor"/>
      </rPr>
      <t>read the interval of auto re-sending</t>
    </r>
    <phoneticPr fontId="4" type="noConversion"/>
  </si>
  <si>
    <r>
      <t xml:space="preserve">低电报警自动发送间隔 </t>
    </r>
    <r>
      <rPr>
        <sz val="11"/>
        <color rgb="FFFF0000"/>
        <rFont val="宋体"/>
        <family val="3"/>
        <charset val="134"/>
        <scheme val="minor"/>
      </rPr>
      <t xml:space="preserve">interval of low power alarm auto sending </t>
    </r>
    <phoneticPr fontId="4" type="noConversion"/>
  </si>
  <si>
    <r>
      <t>设置IP地址和端口号</t>
    </r>
    <r>
      <rPr>
        <sz val="11"/>
        <color rgb="FFFF0000"/>
        <rFont val="宋体"/>
        <family val="3"/>
        <charset val="134"/>
        <scheme val="minor"/>
      </rPr>
      <t xml:space="preserve"> set IP address and port number</t>
    </r>
    <phoneticPr fontId="4" type="noConversion"/>
  </si>
  <si>
    <r>
      <t xml:space="preserve">设置域名 </t>
    </r>
    <r>
      <rPr>
        <sz val="11"/>
        <color rgb="FFFF0000"/>
        <rFont val="宋体"/>
        <family val="3"/>
        <charset val="134"/>
        <scheme val="minor"/>
      </rPr>
      <t>set domain name</t>
    </r>
    <phoneticPr fontId="4" type="noConversion"/>
  </si>
  <si>
    <r>
      <t xml:space="preserve">读取服务地址(IP,Port 或 domain) </t>
    </r>
    <r>
      <rPr>
        <sz val="11"/>
        <color rgb="FFFF0000"/>
        <rFont val="宋体"/>
        <family val="3"/>
        <charset val="134"/>
        <scheme val="minor"/>
      </rPr>
      <t>read server address (IP, Port or Domain)</t>
    </r>
    <phoneticPr fontId="4" type="noConversion"/>
  </si>
  <si>
    <r>
      <t>设置拨号参数</t>
    </r>
    <r>
      <rPr>
        <sz val="11"/>
        <color rgb="FFFF0000"/>
        <rFont val="宋体"/>
        <family val="3"/>
        <charset val="134"/>
        <scheme val="minor"/>
      </rPr>
      <t xml:space="preserve"> set dial parameter</t>
    </r>
    <phoneticPr fontId="4" type="noConversion"/>
  </si>
  <si>
    <r>
      <t>读取拨号参数</t>
    </r>
    <r>
      <rPr>
        <sz val="11"/>
        <color rgb="FFFF0000"/>
        <rFont val="宋体"/>
        <family val="3"/>
        <charset val="134"/>
        <scheme val="minor"/>
      </rPr>
      <t xml:space="preserve"> read dial parameter</t>
    </r>
    <phoneticPr fontId="4" type="noConversion"/>
  </si>
  <si>
    <r>
      <t xml:space="preserve">读取Imei </t>
    </r>
    <r>
      <rPr>
        <sz val="11"/>
        <color rgb="FFFF0000"/>
        <rFont val="宋体"/>
        <family val="3"/>
        <charset val="134"/>
        <scheme val="minor"/>
      </rPr>
      <t>read IMEI</t>
    </r>
    <phoneticPr fontId="4" type="noConversion"/>
  </si>
  <si>
    <r>
      <t>ip:ip</t>
    </r>
    <r>
      <rPr>
        <sz val="11"/>
        <color theme="1"/>
        <rFont val="宋体"/>
        <family val="3"/>
        <charset val="134"/>
        <scheme val="minor"/>
      </rPr>
      <t xml:space="preserve"> address </t>
    </r>
    <r>
      <rPr>
        <sz val="11"/>
        <color theme="1"/>
        <rFont val="宋体"/>
        <family val="3"/>
        <charset val="134"/>
        <scheme val="minor"/>
      </rPr>
      <t xml:space="preserve">地址,port </t>
    </r>
    <r>
      <rPr>
        <sz val="11"/>
        <color theme="1"/>
        <rFont val="宋体"/>
        <family val="3"/>
        <charset val="134"/>
        <scheme val="minor"/>
      </rPr>
      <t xml:space="preserve">number </t>
    </r>
    <r>
      <rPr>
        <sz val="11"/>
        <color theme="1"/>
        <rFont val="宋体"/>
        <family val="3"/>
        <charset val="134"/>
        <scheme val="minor"/>
      </rPr>
      <t>端口号</t>
    </r>
    <phoneticPr fontId="4" type="noConversion"/>
  </si>
  <si>
    <r>
      <t xml:space="preserve">domain:域名,dns:dns(国内一般用 114.114.114,国外一般用  8.8.8.8)
</t>
    </r>
    <r>
      <rPr>
        <sz val="11"/>
        <color rgb="FFFF0000"/>
        <rFont val="宋体"/>
        <family val="3"/>
        <charset val="134"/>
        <scheme val="minor"/>
      </rPr>
      <t>domestic(114.114.114.114), overseas (8.8.8.8)</t>
    </r>
    <phoneticPr fontId="4" type="noConversion"/>
  </si>
  <si>
    <r>
      <t>出参</t>
    </r>
    <r>
      <rPr>
        <sz val="11"/>
        <color rgb="FFFF0000"/>
        <rFont val="宋体"/>
        <family val="3"/>
        <charset val="134"/>
        <scheme val="minor"/>
      </rPr>
      <t>output parameter</t>
    </r>
    <r>
      <rPr>
        <sz val="11"/>
        <color theme="1"/>
        <rFont val="宋体"/>
        <family val="3"/>
        <charset val="134"/>
        <scheme val="minor"/>
      </rPr>
      <t>:apn=?,userid=?,password=?,pin1=?,pin2=?</t>
    </r>
    <phoneticPr fontId="4" type="noConversion"/>
  </si>
  <si>
    <r>
      <t>出参</t>
    </r>
    <r>
      <rPr>
        <sz val="11"/>
        <color rgb="FFFF0000"/>
        <rFont val="宋体"/>
        <family val="3"/>
        <charset val="134"/>
        <scheme val="minor"/>
      </rPr>
      <t>output parameter</t>
    </r>
    <r>
      <rPr>
        <sz val="11"/>
        <color theme="1"/>
        <rFont val="宋体"/>
        <family val="3"/>
        <charset val="134"/>
        <scheme val="minor"/>
      </rPr>
      <t>：imei</t>
    </r>
    <r>
      <rPr>
        <sz val="11"/>
        <color theme="1"/>
        <rFont val="宋体"/>
        <family val="3"/>
        <charset val="134"/>
        <scheme val="minor"/>
      </rPr>
      <t xml:space="preserve"> number</t>
    </r>
    <phoneticPr fontId="4" type="noConversion"/>
  </si>
  <si>
    <r>
      <t xml:space="preserve">设置是否有指纹功能 </t>
    </r>
    <r>
      <rPr>
        <sz val="11"/>
        <color theme="1"/>
        <rFont val="宋体"/>
        <family val="3"/>
        <charset val="134"/>
        <scheme val="minor"/>
      </rPr>
      <t>set fingerprint</t>
    </r>
    <phoneticPr fontId="4" type="noConversion"/>
  </si>
  <si>
    <r>
      <t xml:space="preserve">读取是否有指纹功能 </t>
    </r>
    <r>
      <rPr>
        <sz val="11"/>
        <color theme="1"/>
        <rFont val="宋体"/>
        <family val="3"/>
        <charset val="134"/>
        <scheme val="minor"/>
      </rPr>
      <t>read fingerprint</t>
    </r>
    <phoneticPr fontId="4" type="noConversion"/>
  </si>
  <si>
    <r>
      <t xml:space="preserve">删除指纹 </t>
    </r>
    <r>
      <rPr>
        <sz val="11"/>
        <color theme="1"/>
        <rFont val="宋体"/>
        <family val="3"/>
        <charset val="134"/>
        <scheme val="minor"/>
      </rPr>
      <t>remove fingerprint</t>
    </r>
    <phoneticPr fontId="4" type="noConversion"/>
  </si>
  <si>
    <r>
      <t xml:space="preserve">删除全部指纹 </t>
    </r>
    <r>
      <rPr>
        <sz val="11"/>
        <color theme="1"/>
        <rFont val="宋体"/>
        <family val="3"/>
        <charset val="134"/>
        <scheme val="minor"/>
      </rPr>
      <t>remove all fingerprint</t>
    </r>
    <phoneticPr fontId="4" type="noConversion"/>
  </si>
  <si>
    <r>
      <t>采集指纹c</t>
    </r>
    <r>
      <rPr>
        <sz val="11"/>
        <color theme="1"/>
        <rFont val="宋体"/>
        <family val="3"/>
        <charset val="134"/>
        <scheme val="minor"/>
      </rPr>
      <t>ollect fingerprint</t>
    </r>
    <phoneticPr fontId="4" type="noConversion"/>
  </si>
  <si>
    <r>
      <t xml:space="preserve">设置是否有语音提示 </t>
    </r>
    <r>
      <rPr>
        <sz val="11"/>
        <color theme="1"/>
        <rFont val="宋体"/>
        <family val="3"/>
        <charset val="134"/>
        <scheme val="minor"/>
      </rPr>
      <t>set voice prompt</t>
    </r>
    <phoneticPr fontId="4" type="noConversion"/>
  </si>
  <si>
    <r>
      <t xml:space="preserve">读取是否有语音提示 </t>
    </r>
    <r>
      <rPr>
        <sz val="11"/>
        <color theme="1"/>
        <rFont val="宋体"/>
        <family val="3"/>
        <charset val="134"/>
        <scheme val="minor"/>
      </rPr>
      <t>read voice prompt</t>
    </r>
    <phoneticPr fontId="4" type="noConversion"/>
  </si>
  <si>
    <t>下载通讯录 download contacts</t>
  </si>
  <si>
    <r>
      <t xml:space="preserve">读取通讯录 </t>
    </r>
    <r>
      <rPr>
        <sz val="11"/>
        <color theme="1"/>
        <rFont val="宋体"/>
        <family val="3"/>
        <charset val="134"/>
        <scheme val="minor"/>
      </rPr>
      <t>read contact</t>
    </r>
    <phoneticPr fontId="4" type="noConversion"/>
  </si>
  <si>
    <r>
      <t xml:space="preserve">设置闹钟 </t>
    </r>
    <r>
      <rPr>
        <sz val="11"/>
        <color theme="1"/>
        <rFont val="宋体"/>
        <family val="3"/>
        <charset val="134"/>
        <scheme val="minor"/>
      </rPr>
      <t>set alarm</t>
    </r>
    <phoneticPr fontId="4" type="noConversion"/>
  </si>
  <si>
    <r>
      <t>数据格式 人名\t电话号码\t人员id\r\n</t>
    </r>
    <r>
      <rPr>
        <sz val="11"/>
        <color theme="1"/>
        <rFont val="宋体"/>
        <family val="3"/>
        <charset val="134"/>
        <scheme val="minor"/>
      </rPr>
      <t xml:space="preserve"> name\t(phone number)\t</t>
    </r>
    <phoneticPr fontId="4" type="noConversion"/>
  </si>
  <si>
    <r>
      <t>格式  人员id\t电话号码\r\n</t>
    </r>
    <r>
      <rPr>
        <sz val="11"/>
        <color theme="1"/>
        <rFont val="宋体"/>
        <family val="3"/>
        <charset val="134"/>
        <scheme val="minor"/>
      </rPr>
      <t xml:space="preserve"> (ID\R\N)</t>
    </r>
    <phoneticPr fontId="4" type="noConversion"/>
  </si>
  <si>
    <r>
      <t xml:space="preserve">读取闹钟 </t>
    </r>
    <r>
      <rPr>
        <sz val="11"/>
        <color theme="1"/>
        <rFont val="宋体"/>
        <family val="3"/>
        <charset val="134"/>
        <scheme val="minor"/>
      </rPr>
      <t>read alarm</t>
    </r>
    <phoneticPr fontId="4" type="noConversion"/>
  </si>
  <si>
    <r>
      <t xml:space="preserve">数据格式 </t>
    </r>
    <r>
      <rPr>
        <sz val="11"/>
        <color theme="1"/>
        <rFont val="宋体"/>
        <family val="3"/>
        <charset val="134"/>
        <scheme val="minor"/>
      </rPr>
      <t xml:space="preserve">format: </t>
    </r>
    <r>
      <rPr>
        <sz val="11"/>
        <color theme="1"/>
        <rFont val="宋体"/>
        <charset val="134"/>
        <scheme val="minor"/>
      </rPr>
      <t>HH:mm\r\n</t>
    </r>
    <phoneticPr fontId="4" type="noConversion"/>
  </si>
  <si>
    <r>
      <t>生成播报声音g</t>
    </r>
    <r>
      <rPr>
        <sz val="11"/>
        <color theme="1"/>
        <rFont val="宋体"/>
        <family val="3"/>
        <charset val="134"/>
        <scheme val="minor"/>
      </rPr>
      <t>enerate voice</t>
    </r>
    <phoneticPr fontId="4" type="noConversion"/>
  </si>
  <si>
    <t>sysVoiceFolder：系统声音文件所在路径，末尾需要有路径分割符 (the path of system voice file, delimiter is asked in the end)
outputFolder:生成声音文件目录，末尾需要有路径分割符，生成成功后会在该目录下生成 jwmdevice.bin 和  duration 两个文件 (generated file folder,delimiter is asked in the end. 2 file: jwmdevice.bin and duration will be generated after generating successful)
text:需要下载地点事件播报内容，内容的排序序号要和下载地点的对应事件对应上voice content,the serial number need be same with the checkpoint incident serial number.</t>
    <phoneticPr fontId="4" type="noConversion"/>
  </si>
  <si>
    <r>
      <t>下载巡检点d</t>
    </r>
    <r>
      <rPr>
        <sz val="11"/>
        <color theme="1"/>
        <rFont val="宋体"/>
        <family val="3"/>
        <charset val="134"/>
        <scheme val="minor"/>
      </rPr>
      <t>ownload checkpoint</t>
    </r>
    <phoneticPr fontId="4" type="noConversion"/>
  </si>
  <si>
    <r>
      <t xml:space="preserve">数据格式 地点卡\t地点名称\t(事件序号)\t经度\t维度\t半径\r\n  见文件格式 RFID
</t>
    </r>
    <r>
      <rPr>
        <sz val="11"/>
        <color theme="1"/>
        <rFont val="宋体"/>
        <family val="3"/>
        <charset val="134"/>
        <scheme val="minor"/>
      </rPr>
      <t>Format: checkpoint\t checkpoint name\t(event No.)\t longtitude\ latitude\t raidus\r\n see RFID format</t>
    </r>
    <phoneticPr fontId="4" type="noConversion"/>
  </si>
  <si>
    <t>读取最大允许巡检点数 read maximun checkpoint quatity</t>
    <phoneticPr fontId="4" type="noConversion"/>
  </si>
  <si>
    <t>获取下载的巡检点 get downloaded checkpoint</t>
    <phoneticPr fontId="4" type="noConversion"/>
  </si>
  <si>
    <t>下载声音文件download voice file</t>
    <phoneticPr fontId="4" type="noConversion"/>
  </si>
  <si>
    <t>filename:由 GenerateVoiceFile 生成的 jwmdevice.bin文件，该文件目录下需要有 duration。
File name: jwmdevice.bin that generated by GenerateVoiceFile, duration file is asked in this folder</t>
    <phoneticPr fontId="4" type="noConversion"/>
  </si>
  <si>
    <r>
      <t>由于 GenerateVoiceFile 生成语音文件时间比较长，所以最好是先生成生语音文件，以后就可以调用这个函数直接下载声音，不用每次都生成声音文件。</t>
    </r>
    <r>
      <rPr>
        <sz val="11"/>
        <color theme="1"/>
        <rFont val="宋体"/>
        <family val="3"/>
        <charset val="134"/>
        <scheme val="minor"/>
      </rPr>
      <t>Since it takes a long time to generate the voice file, it is best to generate the voice file first, and then you can call this function to download the voice directly, instead of generating the voice file every time.</t>
    </r>
    <phoneticPr fontId="4" type="noConversion"/>
  </si>
  <si>
    <t>Must call the verify (0) before you read, delete or timing</t>
    <phoneticPr fontId="4" type="noConversion"/>
  </si>
  <si>
    <t>returned value ≥0 means connect successfully. Please check constant if get failure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</si>
</sst>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0.5"/>
      <color rgb="FF32220E"/>
      <name val="Arial"/>
      <family val="2"/>
    </font>
    <font>
      <sz val="11"/>
      <color theme="5"/>
      <name val="宋体"/>
      <family val="3"/>
      <charset val="134"/>
      <scheme val="minor"/>
    </font>
    <font>
      <sz val="11"/>
      <color rgb="FFFF0000"/>
      <name val="宋体"/>
      <family val="3"/>
      <charset val="134"/>
      <scheme val="minor"/>
    </font>
    <font>
      <sz val="9"/>
      <name val="宋体"/>
      <family val="3"/>
      <charset val="134"/>
      <scheme val="minor"/>
    </font>
    <font>
      <sz val="11"/>
      <color theme="1"/>
      <name val="宋体"/>
      <family val="3"/>
      <charset val="134"/>
      <scheme val="minor"/>
    </font>
    <font>
      <sz val="11"/>
      <color theme="1"/>
      <name val="宋体"/>
      <family val="3"/>
      <charset val="134"/>
    </font>
  </fonts>
  <fills count="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1">
    <border>
      <left/>
      <right/>
      <top/>
      <bottom/>
      <diagonal/>
    </border>
  </borders>
  <cellStyleXfs count="2">
    <xf numFmtId="0" fontId="0" fillId="0" borderId="0">
      <alignment vertical="center"/>
    </xf>
    <xf numFmtId="0" fontId="5" fillId="0" borderId="0">
      <alignment vertical="center"/>
    </xf>
  </cellStyleXfs>
  <cellXfs count="22">
    <xf numFmtId="0" fontId="0" fillId="0" borderId="0" xfId="0">
      <alignment vertical="center"/>
    </xf>
    <xf numFmtId="0" fontId="0" fillId="0" borderId="0" xfId="0" applyNumberFormat="1" applyAlignment="1">
      <alignment vertical="center" wrapText="1"/>
    </xf>
    <xf numFmtId="0" fontId="0" fillId="3" borderId="0" xfId="0" applyNumberFormat="1" applyFill="1">
      <alignment vertical="center"/>
    </xf>
    <xf numFmtId="0" fontId="2" fillId="0" borderId="0" xfId="0" applyFont="1">
      <alignment vertical="center"/>
    </xf>
    <xf numFmtId="0" fontId="0" fillId="4" borderId="0" xfId="0" applyNumberFormat="1" applyFill="1">
      <alignment vertical="center"/>
    </xf>
    <xf numFmtId="0" fontId="0" fillId="5" borderId="0" xfId="0" applyFill="1">
      <alignment vertical="center"/>
    </xf>
    <xf numFmtId="0" fontId="0" fillId="0" borderId="0" xfId="0" applyFont="1">
      <alignment vertical="center"/>
    </xf>
    <xf numFmtId="0" fontId="0" fillId="2" borderId="0" xfId="0" applyNumberFormat="1" applyFill="1">
      <alignment vertical="center"/>
    </xf>
    <xf numFmtId="0" fontId="0" fillId="0" borderId="0" xfId="0" applyAlignment="1">
      <alignment vertical="center" wrapText="1"/>
    </xf>
    <xf numFmtId="0" fontId="3" fillId="0" borderId="0" xfId="0" applyFont="1">
      <alignment vertical="center"/>
    </xf>
    <xf numFmtId="0" fontId="0" fillId="0" borderId="0" xfId="0" quotePrefix="1">
      <alignment vertical="center"/>
    </xf>
    <xf numFmtId="0" fontId="5" fillId="2" borderId="0" xfId="1" applyFill="1">
      <alignment vertical="center"/>
    </xf>
    <xf numFmtId="0" fontId="5" fillId="0" borderId="0" xfId="1">
      <alignment vertical="center"/>
    </xf>
    <xf numFmtId="0" fontId="1" fillId="0" borderId="0" xfId="1" applyFont="1">
      <alignment vertical="center"/>
    </xf>
    <xf numFmtId="0" fontId="5" fillId="0" borderId="0" xfId="1">
      <alignment vertical="center"/>
    </xf>
    <xf numFmtId="0" fontId="5" fillId="0" borderId="0" xfId="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0" borderId="0" xfId="0" applyFont="1">
      <alignment vertical="center"/>
    </xf>
    <xf numFmtId="0" fontId="5" fillId="3" borderId="0" xfId="0" applyFont="1" applyFill="1">
      <alignment vertical="center"/>
    </xf>
    <xf numFmtId="0" fontId="5" fillId="3" borderId="0" xfId="0" applyNumberFormat="1" applyFont="1" applyFill="1">
      <alignment vertical="center"/>
    </xf>
    <xf numFmtId="0" fontId="3" fillId="0" borderId="0" xfId="0" applyFont="1" applyAlignment="1">
      <alignment vertical="center" wrapText="1"/>
    </xf>
  </cellXfs>
  <cellStyles count="2">
    <cellStyle name="常规" xfId="0" builtinId="0"/>
    <cellStyle name="常规 2" xfId="1" xr:uid="{D5CCBCD9-500D-4E7A-9D8B-FC02C463EEBC}"/>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workbookViewId="0">
      <selection activeCell="C61" sqref="C61"/>
    </sheetView>
  </sheetViews>
  <sheetFormatPr defaultColWidth="9" defaultRowHeight="14.4" x14ac:dyDescent="0.25"/>
  <cols>
    <col min="1" max="1" width="64" customWidth="1"/>
    <col min="2" max="2" width="46.77734375" bestFit="1" customWidth="1"/>
    <col min="3" max="3" width="73.109375" bestFit="1" customWidth="1"/>
    <col min="4" max="4" width="51.21875" bestFit="1" customWidth="1"/>
    <col min="5" max="5" width="27.109375" bestFit="1" customWidth="1"/>
    <col min="6" max="6" width="28.77734375" customWidth="1"/>
  </cols>
  <sheetData>
    <row r="1" spans="1:6" s="2" customFormat="1" x14ac:dyDescent="0.25">
      <c r="A1" s="2" t="s">
        <v>0</v>
      </c>
      <c r="B1" s="19" t="s">
        <v>216</v>
      </c>
      <c r="C1" s="19" t="s">
        <v>227</v>
      </c>
      <c r="D1" s="20" t="s">
        <v>232</v>
      </c>
      <c r="E1" s="20" t="s">
        <v>235</v>
      </c>
      <c r="F1" s="20" t="s">
        <v>236</v>
      </c>
    </row>
    <row r="2" spans="1:6" ht="18" customHeight="1" x14ac:dyDescent="0.25">
      <c r="A2" t="s">
        <v>1</v>
      </c>
      <c r="B2" s="18" t="s">
        <v>217</v>
      </c>
      <c r="D2" s="18" t="s">
        <v>233</v>
      </c>
    </row>
    <row r="3" spans="1:6" ht="18" customHeight="1" x14ac:dyDescent="0.25">
      <c r="A3" t="s">
        <v>2</v>
      </c>
      <c r="B3" s="18" t="s">
        <v>218</v>
      </c>
    </row>
    <row r="4" spans="1:6" ht="18" customHeight="1" x14ac:dyDescent="0.25">
      <c r="A4" t="s">
        <v>3</v>
      </c>
      <c r="B4" s="18" t="s">
        <v>219</v>
      </c>
      <c r="D4" s="18" t="s">
        <v>234</v>
      </c>
    </row>
    <row r="5" spans="1:6" ht="18" customHeight="1" x14ac:dyDescent="0.25">
      <c r="A5" t="s">
        <v>4</v>
      </c>
      <c r="B5" s="18" t="s">
        <v>220</v>
      </c>
      <c r="C5" t="s">
        <v>5</v>
      </c>
    </row>
    <row r="6" spans="1:6" ht="40.049999999999997" customHeight="1" x14ac:dyDescent="0.25">
      <c r="A6" s="1" t="s">
        <v>6</v>
      </c>
      <c r="B6" s="18" t="s">
        <v>221</v>
      </c>
      <c r="C6" t="s">
        <v>7</v>
      </c>
    </row>
    <row r="7" spans="1:6" ht="18" customHeight="1" x14ac:dyDescent="0.25">
      <c r="A7" t="s">
        <v>8</v>
      </c>
      <c r="B7" s="18" t="s">
        <v>222</v>
      </c>
      <c r="C7" s="18" t="s">
        <v>228</v>
      </c>
    </row>
    <row r="8" spans="1:6" ht="18" customHeight="1" x14ac:dyDescent="0.25">
      <c r="A8" t="s">
        <v>9</v>
      </c>
      <c r="B8" s="18" t="s">
        <v>223</v>
      </c>
      <c r="C8" s="18" t="s">
        <v>229</v>
      </c>
    </row>
    <row r="9" spans="1:6" ht="18" customHeight="1" x14ac:dyDescent="0.25"/>
    <row r="10" spans="1:6" s="3" customFormat="1" ht="18" customHeight="1" x14ac:dyDescent="0.25">
      <c r="A10" s="3" t="s">
        <v>10</v>
      </c>
      <c r="B10" s="3" t="s">
        <v>224</v>
      </c>
      <c r="C10" s="3" t="s">
        <v>230</v>
      </c>
    </row>
    <row r="11" spans="1:6" s="3" customFormat="1" ht="18" customHeight="1" x14ac:dyDescent="0.25">
      <c r="A11" s="3" t="s">
        <v>11</v>
      </c>
      <c r="B11" s="3" t="s">
        <v>225</v>
      </c>
      <c r="C11" s="3" t="s">
        <v>231</v>
      </c>
    </row>
    <row r="12" spans="1:6" ht="60" customHeight="1" x14ac:dyDescent="0.25">
      <c r="A12" t="s">
        <v>12</v>
      </c>
      <c r="B12" s="18" t="s">
        <v>226</v>
      </c>
      <c r="C12" s="8" t="s">
        <v>13</v>
      </c>
    </row>
    <row r="13" spans="1:6" s="4" customFormat="1" ht="6" customHeight="1" x14ac:dyDescent="0.25"/>
    <row r="14" spans="1:6" s="4" customFormat="1" ht="6" customHeight="1" x14ac:dyDescent="0.25"/>
    <row r="15" spans="1:6" x14ac:dyDescent="0.25">
      <c r="A15" t="s">
        <v>14</v>
      </c>
      <c r="B15" s="18" t="s">
        <v>237</v>
      </c>
      <c r="C15" t="s">
        <v>15</v>
      </c>
    </row>
    <row r="16" spans="1:6" x14ac:dyDescent="0.25">
      <c r="A16" t="s">
        <v>16</v>
      </c>
      <c r="B16" s="18" t="s">
        <v>238</v>
      </c>
    </row>
    <row r="17" spans="1:5" x14ac:dyDescent="0.25">
      <c r="A17" t="s">
        <v>17</v>
      </c>
      <c r="B17" s="18" t="s">
        <v>239</v>
      </c>
      <c r="C17" s="18" t="s">
        <v>241</v>
      </c>
    </row>
    <row r="18" spans="1:5" x14ac:dyDescent="0.25">
      <c r="A18" t="s">
        <v>18</v>
      </c>
      <c r="B18" s="18" t="s">
        <v>240</v>
      </c>
    </row>
    <row r="19" spans="1:5" x14ac:dyDescent="0.25">
      <c r="A19" t="s">
        <v>19</v>
      </c>
      <c r="B19" s="18" t="s">
        <v>242</v>
      </c>
      <c r="C19" s="18" t="s">
        <v>243</v>
      </c>
    </row>
    <row r="20" spans="1:5" x14ac:dyDescent="0.25">
      <c r="A20" t="s">
        <v>20</v>
      </c>
      <c r="B20" s="18" t="s">
        <v>244</v>
      </c>
    </row>
    <row r="22" spans="1:5" ht="28.8" x14ac:dyDescent="0.25">
      <c r="A22" t="s">
        <v>21</v>
      </c>
      <c r="B22" s="16" t="s">
        <v>245</v>
      </c>
    </row>
    <row r="23" spans="1:5" ht="28.8" x14ac:dyDescent="0.25">
      <c r="A23" t="s">
        <v>22</v>
      </c>
      <c r="B23" s="16" t="s">
        <v>246</v>
      </c>
    </row>
    <row r="24" spans="1:5" x14ac:dyDescent="0.25">
      <c r="B24" s="8"/>
    </row>
    <row r="25" spans="1:5" ht="28.8" x14ac:dyDescent="0.25">
      <c r="A25" t="s">
        <v>23</v>
      </c>
      <c r="B25" s="16" t="s">
        <v>247</v>
      </c>
    </row>
    <row r="26" spans="1:5" x14ac:dyDescent="0.25">
      <c r="A26" t="s">
        <v>24</v>
      </c>
      <c r="B26" s="8"/>
    </row>
    <row r="27" spans="1:5" x14ac:dyDescent="0.25">
      <c r="B27" s="8"/>
    </row>
    <row r="28" spans="1:5" ht="28.8" x14ac:dyDescent="0.25">
      <c r="A28" t="s">
        <v>25</v>
      </c>
      <c r="B28" s="16" t="s">
        <v>248</v>
      </c>
      <c r="C28" s="18" t="s">
        <v>254</v>
      </c>
      <c r="E28" t="s">
        <v>26</v>
      </c>
    </row>
    <row r="29" spans="1:5" ht="36" customHeight="1" x14ac:dyDescent="0.25">
      <c r="A29" t="s">
        <v>27</v>
      </c>
      <c r="B29" s="16" t="s">
        <v>249</v>
      </c>
      <c r="C29" s="16" t="s">
        <v>255</v>
      </c>
      <c r="E29" t="s">
        <v>26</v>
      </c>
    </row>
    <row r="30" spans="1:5" ht="28.8" x14ac:dyDescent="0.25">
      <c r="A30" t="s">
        <v>28</v>
      </c>
      <c r="B30" s="16" t="s">
        <v>250</v>
      </c>
      <c r="C30" t="s">
        <v>29</v>
      </c>
      <c r="E30" t="s">
        <v>26</v>
      </c>
    </row>
    <row r="31" spans="1:5" ht="31.05" customHeight="1" x14ac:dyDescent="0.25">
      <c r="A31" s="1" t="s">
        <v>30</v>
      </c>
      <c r="B31" s="16" t="s">
        <v>251</v>
      </c>
      <c r="E31" t="s">
        <v>26</v>
      </c>
    </row>
    <row r="32" spans="1:5" x14ac:dyDescent="0.25">
      <c r="A32" t="s">
        <v>31</v>
      </c>
      <c r="B32" s="16" t="s">
        <v>252</v>
      </c>
      <c r="C32" s="18" t="s">
        <v>256</v>
      </c>
      <c r="E32" t="s">
        <v>26</v>
      </c>
    </row>
    <row r="33" spans="1:5" ht="16.95" customHeight="1" x14ac:dyDescent="0.25">
      <c r="A33" t="s">
        <v>32</v>
      </c>
      <c r="B33" s="16" t="s">
        <v>253</v>
      </c>
      <c r="C33" s="18" t="s">
        <v>257</v>
      </c>
      <c r="E33" t="s">
        <v>33</v>
      </c>
    </row>
    <row r="34" spans="1:5" ht="7.05" customHeight="1" x14ac:dyDescent="0.25">
      <c r="A34" s="5"/>
      <c r="B34" s="5"/>
      <c r="C34" s="5"/>
      <c r="D34" s="5"/>
      <c r="E34" s="5"/>
    </row>
    <row r="35" spans="1:5" ht="16.95" customHeight="1" x14ac:dyDescent="0.25">
      <c r="A35" t="s">
        <v>34</v>
      </c>
      <c r="B35" s="18" t="s">
        <v>258</v>
      </c>
      <c r="C35" s="6" t="s">
        <v>35</v>
      </c>
      <c r="D35" t="s">
        <v>36</v>
      </c>
    </row>
    <row r="36" spans="1:5" ht="16.95" customHeight="1" x14ac:dyDescent="0.25">
      <c r="A36" t="s">
        <v>37</v>
      </c>
      <c r="B36" s="18" t="s">
        <v>259</v>
      </c>
      <c r="C36" s="6" t="s">
        <v>38</v>
      </c>
    </row>
    <row r="37" spans="1:5" ht="16.95" customHeight="1" x14ac:dyDescent="0.25">
      <c r="A37" t="s">
        <v>39</v>
      </c>
      <c r="B37" s="18" t="s">
        <v>260</v>
      </c>
      <c r="C37" s="6" t="s">
        <v>40</v>
      </c>
      <c r="D37" t="s">
        <v>41</v>
      </c>
    </row>
    <row r="38" spans="1:5" ht="16.95" customHeight="1" x14ac:dyDescent="0.25">
      <c r="A38" s="7" t="s">
        <v>42</v>
      </c>
      <c r="B38" s="18" t="s">
        <v>261</v>
      </c>
      <c r="C38" s="6" t="s">
        <v>43</v>
      </c>
    </row>
    <row r="39" spans="1:5" ht="93" customHeight="1" x14ac:dyDescent="0.25">
      <c r="A39" t="s">
        <v>44</v>
      </c>
      <c r="B39" s="18" t="s">
        <v>262</v>
      </c>
      <c r="C39" s="8" t="s">
        <v>45</v>
      </c>
      <c r="D39" t="s">
        <v>46</v>
      </c>
    </row>
    <row r="40" spans="1:5" ht="16.95" customHeight="1" x14ac:dyDescent="0.25">
      <c r="A40" t="s">
        <v>47</v>
      </c>
      <c r="B40" s="18" t="s">
        <v>263</v>
      </c>
      <c r="C40" s="6" t="s">
        <v>48</v>
      </c>
      <c r="D40" t="s">
        <v>49</v>
      </c>
    </row>
    <row r="41" spans="1:5" ht="16.95" customHeight="1" x14ac:dyDescent="0.25">
      <c r="A41" t="s">
        <v>50</v>
      </c>
      <c r="B41" s="18" t="s">
        <v>264</v>
      </c>
      <c r="C41" s="6" t="s">
        <v>51</v>
      </c>
    </row>
    <row r="42" spans="1:5" ht="16.95" customHeight="1" x14ac:dyDescent="0.25"/>
    <row r="43" spans="1:5" ht="16.95" customHeight="1" x14ac:dyDescent="0.25">
      <c r="A43" t="s">
        <v>52</v>
      </c>
      <c r="B43" t="s">
        <v>265</v>
      </c>
      <c r="C43" s="18" t="s">
        <v>268</v>
      </c>
    </row>
    <row r="44" spans="1:5" ht="16.95" customHeight="1" x14ac:dyDescent="0.25">
      <c r="A44" t="s">
        <v>53</v>
      </c>
      <c r="B44" s="18" t="s">
        <v>266</v>
      </c>
      <c r="C44" s="18" t="s">
        <v>269</v>
      </c>
    </row>
    <row r="45" spans="1:5" ht="16.95" customHeight="1" x14ac:dyDescent="0.25"/>
    <row r="46" spans="1:5" ht="16.95" customHeight="1" x14ac:dyDescent="0.25">
      <c r="A46" t="s">
        <v>54</v>
      </c>
      <c r="B46" s="18" t="s">
        <v>267</v>
      </c>
      <c r="C46" s="18" t="s">
        <v>271</v>
      </c>
    </row>
    <row r="47" spans="1:5" ht="91.95" customHeight="1" x14ac:dyDescent="0.25">
      <c r="A47" t="s">
        <v>55</v>
      </c>
      <c r="B47" s="18" t="s">
        <v>270</v>
      </c>
    </row>
    <row r="48" spans="1:5" ht="129.6" x14ac:dyDescent="0.25">
      <c r="A48" t="s">
        <v>56</v>
      </c>
      <c r="B48" s="18" t="s">
        <v>272</v>
      </c>
      <c r="C48" s="16" t="s">
        <v>273</v>
      </c>
    </row>
    <row r="49" spans="1:4" ht="78" customHeight="1" x14ac:dyDescent="0.25">
      <c r="A49" t="s">
        <v>57</v>
      </c>
      <c r="B49" s="18" t="s">
        <v>274</v>
      </c>
      <c r="C49" s="16" t="s">
        <v>275</v>
      </c>
    </row>
    <row r="50" spans="1:4" ht="16.95" customHeight="1" x14ac:dyDescent="0.25">
      <c r="C50" s="6"/>
    </row>
    <row r="51" spans="1:4" ht="28.8" x14ac:dyDescent="0.25">
      <c r="A51" t="s">
        <v>58</v>
      </c>
      <c r="B51" s="16" t="s">
        <v>276</v>
      </c>
      <c r="C51" s="6"/>
    </row>
    <row r="52" spans="1:4" ht="16.95" customHeight="1" x14ac:dyDescent="0.25">
      <c r="A52" t="s">
        <v>59</v>
      </c>
      <c r="B52" s="18" t="s">
        <v>277</v>
      </c>
      <c r="C52" s="6"/>
    </row>
    <row r="53" spans="1:4" ht="154.05000000000001" customHeight="1" x14ac:dyDescent="0.25">
      <c r="A53" t="s">
        <v>60</v>
      </c>
      <c r="B53" s="18" t="s">
        <v>278</v>
      </c>
      <c r="C53" s="16" t="s">
        <v>279</v>
      </c>
      <c r="D53" s="16" t="s">
        <v>280</v>
      </c>
    </row>
    <row r="55" spans="1:4" x14ac:dyDescent="0.25">
      <c r="A55" s="9" t="s">
        <v>61</v>
      </c>
      <c r="B55" s="9" t="s">
        <v>281</v>
      </c>
    </row>
    <row r="56" spans="1:4" x14ac:dyDescent="0.25">
      <c r="A56" s="9"/>
      <c r="B56" s="21"/>
    </row>
    <row r="57" spans="1:4" x14ac:dyDescent="0.25">
      <c r="A57" s="9" t="s">
        <v>62</v>
      </c>
      <c r="B57" s="18" t="s">
        <v>282</v>
      </c>
    </row>
  </sheetData>
  <phoneticPr fontId="4"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workbookViewId="0">
      <selection activeCell="F25" sqref="F25"/>
    </sheetView>
  </sheetViews>
  <sheetFormatPr defaultColWidth="9" defaultRowHeight="14.4" x14ac:dyDescent="0.25"/>
  <cols>
    <col min="1" max="1" width="14.21875" customWidth="1"/>
    <col min="3" max="3" width="9.88671875" customWidth="1"/>
    <col min="5" max="5" width="13.88671875" customWidth="1"/>
    <col min="9" max="9" width="14.21875" customWidth="1"/>
    <col min="10" max="12" width="13.77734375" customWidth="1"/>
    <col min="13" max="13" width="20.44140625" customWidth="1"/>
    <col min="14" max="14" width="14.21875" customWidth="1"/>
  </cols>
  <sheetData>
    <row r="1" spans="1:13" x14ac:dyDescent="0.25">
      <c r="A1" t="s">
        <v>192</v>
      </c>
    </row>
    <row r="3" spans="1:13" x14ac:dyDescent="0.25">
      <c r="A3" t="s">
        <v>64</v>
      </c>
      <c r="B3" t="s">
        <v>65</v>
      </c>
      <c r="C3" t="s">
        <v>66</v>
      </c>
      <c r="D3" t="s">
        <v>67</v>
      </c>
      <c r="E3" t="s">
        <v>68</v>
      </c>
      <c r="F3" t="s">
        <v>69</v>
      </c>
      <c r="G3" t="s">
        <v>70</v>
      </c>
      <c r="H3" t="s">
        <v>193</v>
      </c>
      <c r="I3" t="s">
        <v>71</v>
      </c>
      <c r="J3" t="s">
        <v>72</v>
      </c>
      <c r="K3" s="18" t="s">
        <v>194</v>
      </c>
      <c r="L3" t="s">
        <v>195</v>
      </c>
      <c r="M3" t="s">
        <v>73</v>
      </c>
    </row>
    <row r="4" spans="1:13" x14ac:dyDescent="0.25">
      <c r="A4" s="18" t="s">
        <v>196</v>
      </c>
      <c r="J4" t="s">
        <v>74</v>
      </c>
      <c r="M4" t="s">
        <v>197</v>
      </c>
    </row>
    <row r="5" spans="1:13" x14ac:dyDescent="0.25">
      <c r="A5" s="18" t="s">
        <v>198</v>
      </c>
    </row>
    <row r="6" spans="1:13" x14ac:dyDescent="0.25">
      <c r="A6" s="18" t="s">
        <v>199</v>
      </c>
    </row>
    <row r="7" spans="1:13" x14ac:dyDescent="0.25">
      <c r="A7" s="18" t="s">
        <v>200</v>
      </c>
    </row>
    <row r="8" spans="1:13" x14ac:dyDescent="0.25">
      <c r="A8" s="18" t="s">
        <v>201</v>
      </c>
    </row>
    <row r="9" spans="1:13" x14ac:dyDescent="0.25">
      <c r="A9" s="18" t="s">
        <v>202</v>
      </c>
    </row>
    <row r="10" spans="1:13" x14ac:dyDescent="0.25">
      <c r="A10" s="18" t="s">
        <v>203</v>
      </c>
    </row>
    <row r="11" spans="1:13" x14ac:dyDescent="0.25">
      <c r="A11" s="18" t="s">
        <v>204</v>
      </c>
    </row>
    <row r="12" spans="1:13" x14ac:dyDescent="0.25">
      <c r="A12" s="18" t="s">
        <v>205</v>
      </c>
    </row>
    <row r="13" spans="1:13" x14ac:dyDescent="0.25">
      <c r="A13" s="18" t="s">
        <v>206</v>
      </c>
    </row>
    <row r="14" spans="1:13" x14ac:dyDescent="0.25">
      <c r="A14" s="18" t="s">
        <v>207</v>
      </c>
    </row>
    <row r="15" spans="1:13" x14ac:dyDescent="0.25">
      <c r="A15" s="18" t="s">
        <v>208</v>
      </c>
    </row>
    <row r="17" spans="1:5" x14ac:dyDescent="0.25">
      <c r="A17" s="18" t="s">
        <v>209</v>
      </c>
    </row>
    <row r="18" spans="1:5" x14ac:dyDescent="0.25">
      <c r="A18" s="18" t="s">
        <v>210</v>
      </c>
      <c r="B18" s="18" t="s">
        <v>211</v>
      </c>
      <c r="C18" s="18" t="s">
        <v>212</v>
      </c>
      <c r="D18" s="18" t="s">
        <v>213</v>
      </c>
      <c r="E18" s="18" t="s">
        <v>214</v>
      </c>
    </row>
    <row r="19" spans="1:5" x14ac:dyDescent="0.25">
      <c r="A19" t="s">
        <v>75</v>
      </c>
      <c r="E19" t="s">
        <v>76</v>
      </c>
    </row>
    <row r="20" spans="1:5" x14ac:dyDescent="0.25">
      <c r="A20" t="s">
        <v>77</v>
      </c>
    </row>
    <row r="31" spans="1:5" x14ac:dyDescent="0.25">
      <c r="A31" s="17" t="s">
        <v>215</v>
      </c>
    </row>
  </sheetData>
  <phoneticPr fontId="4"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9A068-CA36-4A20-A36A-F203838DFDCE}">
  <dimension ref="A1:K19"/>
  <sheetViews>
    <sheetView workbookViewId="0">
      <selection activeCell="F23" sqref="F23"/>
    </sheetView>
  </sheetViews>
  <sheetFormatPr defaultColWidth="9" defaultRowHeight="14.4" x14ac:dyDescent="0.25"/>
  <cols>
    <col min="1" max="1" width="21.5546875" style="12" bestFit="1" customWidth="1"/>
    <col min="2" max="2" width="10.5546875" style="12" bestFit="1" customWidth="1"/>
    <col min="3" max="3" width="7.5546875" style="12" bestFit="1" customWidth="1"/>
    <col min="4" max="4" width="10.5546875" style="12" bestFit="1" customWidth="1"/>
    <col min="5" max="5" width="9.5546875" style="12" bestFit="1" customWidth="1"/>
    <col min="6" max="6" width="7" style="12" bestFit="1" customWidth="1"/>
    <col min="7" max="7" width="9" style="12"/>
    <col min="8" max="8" width="41.33203125" style="12" bestFit="1" customWidth="1"/>
    <col min="9" max="9" width="17" style="12" customWidth="1"/>
    <col min="10" max="16384" width="9" style="12"/>
  </cols>
  <sheetData>
    <row r="1" spans="1:11" x14ac:dyDescent="0.25">
      <c r="A1" s="11" t="s">
        <v>78</v>
      </c>
      <c r="B1" s="11"/>
      <c r="C1" s="11"/>
      <c r="D1" s="11"/>
      <c r="E1" s="11"/>
      <c r="F1" s="11"/>
      <c r="G1" s="11"/>
      <c r="H1" s="11"/>
      <c r="I1" s="11"/>
      <c r="J1" s="11"/>
      <c r="K1" s="11"/>
    </row>
    <row r="2" spans="1:11" x14ac:dyDescent="0.25">
      <c r="A2" s="12" t="s">
        <v>79</v>
      </c>
      <c r="B2" s="12" t="s">
        <v>80</v>
      </c>
      <c r="C2" s="12" t="s">
        <v>81</v>
      </c>
      <c r="D2" s="12" t="s">
        <v>63</v>
      </c>
      <c r="E2" s="12" t="s">
        <v>82</v>
      </c>
      <c r="F2" s="12" t="s">
        <v>83</v>
      </c>
    </row>
    <row r="3" spans="1:11" x14ac:dyDescent="0.25">
      <c r="A3" s="12" t="s">
        <v>67</v>
      </c>
      <c r="B3" s="12" t="s">
        <v>84</v>
      </c>
      <c r="C3" s="12" t="s">
        <v>85</v>
      </c>
      <c r="D3" s="12" t="s">
        <v>86</v>
      </c>
      <c r="E3" s="12" t="s">
        <v>69</v>
      </c>
      <c r="F3" s="13" t="s">
        <v>87</v>
      </c>
      <c r="H3" s="12" t="s">
        <v>88</v>
      </c>
    </row>
    <row r="4" spans="1:11" ht="22.95" customHeight="1" x14ac:dyDescent="0.25">
      <c r="A4" s="14" t="s">
        <v>89</v>
      </c>
      <c r="B4" s="14"/>
      <c r="C4" s="14"/>
      <c r="D4" s="14"/>
      <c r="E4" s="12" t="s">
        <v>187</v>
      </c>
      <c r="H4" s="12" t="s">
        <v>188</v>
      </c>
    </row>
    <row r="5" spans="1:11" ht="129" customHeight="1" x14ac:dyDescent="0.25">
      <c r="A5" s="15" t="s">
        <v>90</v>
      </c>
      <c r="B5" s="14"/>
      <c r="C5" s="14"/>
      <c r="D5" s="14"/>
      <c r="E5" s="15" t="s">
        <v>189</v>
      </c>
      <c r="F5" s="14"/>
      <c r="G5" s="14"/>
      <c r="H5" s="14"/>
      <c r="I5" s="14"/>
    </row>
    <row r="6" spans="1:11" x14ac:dyDescent="0.25">
      <c r="F6" s="13"/>
    </row>
    <row r="7" spans="1:11" x14ac:dyDescent="0.25">
      <c r="A7" s="11" t="s">
        <v>190</v>
      </c>
      <c r="B7" s="11"/>
      <c r="C7" s="11"/>
      <c r="D7" s="11"/>
      <c r="E7" s="11"/>
      <c r="F7" s="11"/>
      <c r="G7" s="11"/>
      <c r="H7" s="11"/>
      <c r="I7" s="11"/>
      <c r="J7" s="11"/>
      <c r="K7" s="11"/>
    </row>
    <row r="8" spans="1:11" x14ac:dyDescent="0.25">
      <c r="A8" s="12" t="s">
        <v>91</v>
      </c>
      <c r="B8" s="12" t="s">
        <v>92</v>
      </c>
    </row>
    <row r="9" spans="1:11" x14ac:dyDescent="0.25">
      <c r="A9" s="12" t="s">
        <v>66</v>
      </c>
      <c r="B9" s="12" t="s">
        <v>93</v>
      </c>
    </row>
    <row r="10" spans="1:11" x14ac:dyDescent="0.25">
      <c r="A10" s="15" t="s">
        <v>94</v>
      </c>
      <c r="B10" s="14"/>
    </row>
    <row r="11" spans="1:11" ht="88.05" customHeight="1" x14ac:dyDescent="0.25">
      <c r="A11" s="14"/>
      <c r="B11" s="14"/>
    </row>
    <row r="12" spans="1:11" x14ac:dyDescent="0.25">
      <c r="A12" s="11" t="s">
        <v>95</v>
      </c>
      <c r="B12" s="11"/>
      <c r="C12" s="11"/>
      <c r="D12" s="11"/>
      <c r="E12" s="11"/>
      <c r="F12" s="11"/>
      <c r="G12" s="11"/>
      <c r="H12" s="11"/>
      <c r="I12" s="11"/>
      <c r="J12" s="11"/>
      <c r="K12" s="11"/>
    </row>
    <row r="13" spans="1:11" x14ac:dyDescent="0.25">
      <c r="A13" s="12" t="s">
        <v>96</v>
      </c>
      <c r="B13" s="12" t="s">
        <v>97</v>
      </c>
    </row>
    <row r="14" spans="1:11" x14ac:dyDescent="0.25">
      <c r="A14" s="12" t="s">
        <v>98</v>
      </c>
      <c r="B14" s="12" t="s">
        <v>99</v>
      </c>
    </row>
    <row r="18" spans="1:1" x14ac:dyDescent="0.25">
      <c r="A18" s="12" t="s">
        <v>100</v>
      </c>
    </row>
    <row r="19" spans="1:1" x14ac:dyDescent="0.25">
      <c r="A19" s="12" t="s">
        <v>191</v>
      </c>
    </row>
  </sheetData>
  <mergeCells count="4">
    <mergeCell ref="A4:D4"/>
    <mergeCell ref="A5:D5"/>
    <mergeCell ref="E5:I5"/>
    <mergeCell ref="A10:B11"/>
  </mergeCells>
  <phoneticPr fontId="4"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workbookViewId="0">
      <selection activeCell="I10" sqref="I10"/>
    </sheetView>
  </sheetViews>
  <sheetFormatPr defaultColWidth="9" defaultRowHeight="14.4" x14ac:dyDescent="0.25"/>
  <cols>
    <col min="1" max="1" width="16.109375" customWidth="1"/>
    <col min="2" max="2" width="12" customWidth="1"/>
    <col min="3" max="3" width="7" customWidth="1"/>
    <col min="4" max="4" width="27" customWidth="1"/>
  </cols>
  <sheetData>
    <row r="1" spans="1:5" x14ac:dyDescent="0.25">
      <c r="A1" t="s">
        <v>101</v>
      </c>
      <c r="B1" s="10" t="s">
        <v>102</v>
      </c>
      <c r="C1">
        <f>HEX2DEC(1)</f>
        <v>1</v>
      </c>
      <c r="D1" t="s">
        <v>103</v>
      </c>
      <c r="E1" s="9" t="s">
        <v>166</v>
      </c>
    </row>
    <row r="2" spans="1:5" x14ac:dyDescent="0.25">
      <c r="A2" t="s">
        <v>104</v>
      </c>
      <c r="B2" s="10" t="s">
        <v>105</v>
      </c>
      <c r="C2">
        <f>HEX2DEC(1000)</f>
        <v>4096</v>
      </c>
      <c r="D2" t="s">
        <v>106</v>
      </c>
      <c r="E2" s="9" t="s">
        <v>167</v>
      </c>
    </row>
    <row r="3" spans="1:5" x14ac:dyDescent="0.25">
      <c r="A3" t="s">
        <v>107</v>
      </c>
      <c r="B3" s="10" t="s">
        <v>108</v>
      </c>
      <c r="C3">
        <f>HEX2DEC(1001)</f>
        <v>4097</v>
      </c>
      <c r="D3" t="s">
        <v>109</v>
      </c>
      <c r="E3" s="9" t="s">
        <v>168</v>
      </c>
    </row>
    <row r="4" spans="1:5" x14ac:dyDescent="0.25">
      <c r="A4" t="s">
        <v>110</v>
      </c>
      <c r="B4" s="10" t="s">
        <v>111</v>
      </c>
      <c r="C4">
        <f>HEX2DEC(1002)</f>
        <v>4098</v>
      </c>
      <c r="D4" t="s">
        <v>112</v>
      </c>
      <c r="E4" s="9" t="s">
        <v>169</v>
      </c>
    </row>
    <row r="5" spans="1:5" x14ac:dyDescent="0.25">
      <c r="A5" t="s">
        <v>113</v>
      </c>
      <c r="B5" s="10" t="s">
        <v>114</v>
      </c>
      <c r="C5">
        <f>HEX2DEC(1003)</f>
        <v>4099</v>
      </c>
      <c r="D5" t="s">
        <v>115</v>
      </c>
      <c r="E5" s="9" t="s">
        <v>170</v>
      </c>
    </row>
    <row r="6" spans="1:5" x14ac:dyDescent="0.25">
      <c r="A6" t="s">
        <v>116</v>
      </c>
      <c r="B6" s="10" t="s">
        <v>117</v>
      </c>
      <c r="C6">
        <f>HEX2DEC(1004)</f>
        <v>4100</v>
      </c>
      <c r="D6" t="s">
        <v>118</v>
      </c>
      <c r="E6" s="9" t="s">
        <v>171</v>
      </c>
    </row>
    <row r="7" spans="1:5" x14ac:dyDescent="0.25">
      <c r="A7" t="s">
        <v>119</v>
      </c>
      <c r="B7" s="10" t="s">
        <v>120</v>
      </c>
      <c r="C7">
        <f>HEX2DEC(1005)</f>
        <v>4101</v>
      </c>
      <c r="D7" t="s">
        <v>121</v>
      </c>
      <c r="E7" s="9" t="s">
        <v>172</v>
      </c>
    </row>
    <row r="8" spans="1:5" x14ac:dyDescent="0.25">
      <c r="A8" t="s">
        <v>122</v>
      </c>
      <c r="B8" s="10" t="s">
        <v>123</v>
      </c>
      <c r="C8">
        <f>HEX2DEC(1006)</f>
        <v>4102</v>
      </c>
      <c r="D8" t="s">
        <v>124</v>
      </c>
      <c r="E8" s="9" t="s">
        <v>173</v>
      </c>
    </row>
    <row r="9" spans="1:5" x14ac:dyDescent="0.25">
      <c r="A9" t="s">
        <v>125</v>
      </c>
      <c r="B9" s="10" t="s">
        <v>126</v>
      </c>
      <c r="C9">
        <f>HEX2DEC(1007)</f>
        <v>4103</v>
      </c>
      <c r="D9" t="s">
        <v>127</v>
      </c>
      <c r="E9" s="9" t="s">
        <v>174</v>
      </c>
    </row>
    <row r="10" spans="1:5" x14ac:dyDescent="0.25">
      <c r="A10" t="s">
        <v>128</v>
      </c>
      <c r="B10" s="10" t="s">
        <v>129</v>
      </c>
      <c r="C10">
        <f>HEX2DEC(1008)</f>
        <v>4104</v>
      </c>
      <c r="D10" t="s">
        <v>130</v>
      </c>
      <c r="E10" s="9" t="s">
        <v>175</v>
      </c>
    </row>
    <row r="11" spans="1:5" x14ac:dyDescent="0.25">
      <c r="A11" t="s">
        <v>131</v>
      </c>
      <c r="B11" s="10" t="s">
        <v>132</v>
      </c>
      <c r="C11">
        <f>HEX2DEC(1009)</f>
        <v>4105</v>
      </c>
      <c r="D11" t="s">
        <v>133</v>
      </c>
      <c r="E11" s="9" t="s">
        <v>176</v>
      </c>
    </row>
    <row r="12" spans="1:5" x14ac:dyDescent="0.25">
      <c r="A12" t="s">
        <v>134</v>
      </c>
      <c r="B12" s="10" t="s">
        <v>135</v>
      </c>
      <c r="C12">
        <f>HEX2DEC(1010)</f>
        <v>4112</v>
      </c>
      <c r="D12" t="s">
        <v>136</v>
      </c>
      <c r="E12" s="9" t="s">
        <v>177</v>
      </c>
    </row>
    <row r="13" spans="1:5" x14ac:dyDescent="0.25">
      <c r="A13" t="s">
        <v>137</v>
      </c>
      <c r="B13" s="10" t="s">
        <v>138</v>
      </c>
      <c r="C13">
        <f>HEX2DEC(1011)</f>
        <v>4113</v>
      </c>
      <c r="D13" t="s">
        <v>139</v>
      </c>
      <c r="E13" s="9" t="s">
        <v>178</v>
      </c>
    </row>
    <row r="14" spans="1:5" x14ac:dyDescent="0.25">
      <c r="A14" t="s">
        <v>140</v>
      </c>
      <c r="B14" t="s">
        <v>141</v>
      </c>
      <c r="C14">
        <f>HEX2DEC(1012)</f>
        <v>4114</v>
      </c>
      <c r="D14" t="s">
        <v>142</v>
      </c>
      <c r="E14" s="9" t="s">
        <v>179</v>
      </c>
    </row>
    <row r="15" spans="1:5" x14ac:dyDescent="0.25">
      <c r="A15" t="s">
        <v>143</v>
      </c>
      <c r="B15" t="s">
        <v>144</v>
      </c>
      <c r="C15">
        <f>HEX2DEC(1013)</f>
        <v>4115</v>
      </c>
      <c r="D15" t="s">
        <v>145</v>
      </c>
      <c r="E15" s="9" t="s">
        <v>180</v>
      </c>
    </row>
    <row r="16" spans="1:5" x14ac:dyDescent="0.25">
      <c r="A16" t="s">
        <v>146</v>
      </c>
      <c r="B16" s="10" t="s">
        <v>147</v>
      </c>
      <c r="C16">
        <f>HEX2DEC(1014)</f>
        <v>4116</v>
      </c>
      <c r="D16" t="s">
        <v>148</v>
      </c>
      <c r="E16" s="9" t="s">
        <v>181</v>
      </c>
    </row>
    <row r="17" spans="1:5" x14ac:dyDescent="0.25">
      <c r="A17" t="s">
        <v>149</v>
      </c>
      <c r="B17" t="s">
        <v>150</v>
      </c>
      <c r="C17">
        <f>HEX2DEC(1015)</f>
        <v>4117</v>
      </c>
      <c r="D17" t="s">
        <v>151</v>
      </c>
      <c r="E17" s="9" t="s">
        <v>182</v>
      </c>
    </row>
    <row r="18" spans="1:5" x14ac:dyDescent="0.25">
      <c r="A18" t="s">
        <v>152</v>
      </c>
      <c r="B18" s="10" t="s">
        <v>153</v>
      </c>
      <c r="C18">
        <v>4118</v>
      </c>
      <c r="D18" t="s">
        <v>154</v>
      </c>
      <c r="E18" s="9" t="s">
        <v>183</v>
      </c>
    </row>
    <row r="19" spans="1:5" x14ac:dyDescent="0.25">
      <c r="A19" t="s">
        <v>155</v>
      </c>
      <c r="B19" s="10" t="s">
        <v>156</v>
      </c>
      <c r="C19">
        <v>4119</v>
      </c>
      <c r="E19" s="9"/>
    </row>
    <row r="20" spans="1:5" x14ac:dyDescent="0.25">
      <c r="A20" t="s">
        <v>157</v>
      </c>
      <c r="B20" s="10" t="s">
        <v>158</v>
      </c>
      <c r="C20">
        <v>4120</v>
      </c>
      <c r="D20" t="s">
        <v>159</v>
      </c>
      <c r="E20" s="9" t="s">
        <v>184</v>
      </c>
    </row>
    <row r="21" spans="1:5" x14ac:dyDescent="0.25">
      <c r="A21" t="s">
        <v>160</v>
      </c>
      <c r="B21" s="10" t="s">
        <v>161</v>
      </c>
      <c r="C21">
        <v>4121</v>
      </c>
      <c r="D21" t="s">
        <v>162</v>
      </c>
      <c r="E21" s="9" t="s">
        <v>185</v>
      </c>
    </row>
    <row r="22" spans="1:5" x14ac:dyDescent="0.25">
      <c r="A22" t="s">
        <v>163</v>
      </c>
      <c r="B22" s="10" t="s">
        <v>164</v>
      </c>
      <c r="C22">
        <f>HEX2DEC(1020)</f>
        <v>4128</v>
      </c>
      <c r="D22" t="s">
        <v>165</v>
      </c>
      <c r="E22" s="9" t="s">
        <v>186</v>
      </c>
    </row>
  </sheetData>
  <phoneticPr fontId="4" type="noConversion"/>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function introduction</vt:lpstr>
      <vt:lpstr>file format</vt:lpstr>
      <vt:lpstr>downloaded data type</vt:lpstr>
      <vt:lpstr>instant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sword</dc:creator>
  <cp:lastModifiedBy>JWM-010</cp:lastModifiedBy>
  <dcterms:created xsi:type="dcterms:W3CDTF">2016-05-06T01:48:00Z</dcterms:created>
  <dcterms:modified xsi:type="dcterms:W3CDTF">2021-11-11T00:56:57Z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2052-11.1.0.10578</vt:lpwstr>
  </property>
  <property fmtid="{D5CDD505-2E9C-101B-9397-08002B2CF9AE}" pid="3" name="ICV">
    <vt:lpwstr>F79E51876BEB487181E1FC6F47DA2983</vt:lpwstr>
  </property>
</Properties>
</file>