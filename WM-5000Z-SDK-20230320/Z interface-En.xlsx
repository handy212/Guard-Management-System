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628"/>
  <workbookPr codeName="ThisWorkbook"/>
  <mc:AlternateContent xmlns:mc="http://schemas.openxmlformats.org/markup-compatibility/2006">
    <mc:Choice Requires="x15">
      <x15ac:absPath xmlns:x15ac="http://schemas.microsoft.com/office/spreadsheetml/2010/11/ac" url="C:\Users\JWM-010\Desktop\20210219\SDK接口文件翻译\"/>
    </mc:Choice>
  </mc:AlternateContent>
  <xr:revisionPtr revIDLastSave="0" documentId="13_ncr:1_{8F2E3695-4267-4E4A-914C-99C6AF66953F}" xr6:coauthVersionLast="46" xr6:coauthVersionMax="46" xr10:uidLastSave="{00000000-0000-0000-0000-000000000000}"/>
  <bookViews>
    <workbookView xWindow="29610" yWindow="-120" windowWidth="28110" windowHeight="16440" xr2:uid="{00000000-000D-0000-FFFF-FFFF00000000}"/>
  </bookViews>
  <sheets>
    <sheet name="Function description" sheetId="2" r:id="rId1"/>
    <sheet name="file format" sheetId="3" r:id="rId2"/>
    <sheet name="data format" sheetId="5" r:id="rId3"/>
    <sheet name="constant" sheetId="4" r:id="rId4"/>
  </sheets>
  <calcPr calcId="181029"/>
</workbook>
</file>

<file path=xl/calcChain.xml><?xml version="1.0" encoding="utf-8"?>
<calcChain xmlns="http://schemas.openxmlformats.org/spreadsheetml/2006/main">
  <c r="C22" i="4" l="1"/>
  <c r="C17" i="4"/>
  <c r="C16" i="4"/>
  <c r="C15" i="4"/>
  <c r="C14" i="4"/>
  <c r="C13" i="4"/>
  <c r="C12" i="4"/>
  <c r="C11" i="4"/>
  <c r="C10" i="4"/>
  <c r="C9" i="4"/>
  <c r="C8" i="4"/>
  <c r="C7" i="4"/>
  <c r="C6" i="4"/>
  <c r="C5" i="4"/>
  <c r="C4" i="4"/>
  <c r="C3" i="4"/>
  <c r="C2" i="4"/>
  <c r="C1" i="4"/>
</calcChain>
</file>

<file path=xl/sharedStrings.xml><?xml version="1.0" encoding="utf-8"?>
<sst xmlns="http://schemas.openxmlformats.org/spreadsheetml/2006/main" count="222" uniqueCount="210">
  <si>
    <t>返回值(return value)</t>
  </si>
  <si>
    <t>支持设备(support device)</t>
  </si>
  <si>
    <t>备注(remark)</t>
  </si>
  <si>
    <t>long OpenDevic()</t>
  </si>
  <si>
    <t>设备类别 Device category</t>
  </si>
  <si>
    <t>long CloseDevice()</t>
  </si>
  <si>
    <t>long GetDeviceId()</t>
  </si>
  <si>
    <t>设备号码 Device number</t>
  </si>
  <si>
    <t>long Verify(int val)</t>
  </si>
  <si>
    <t>val=0</t>
  </si>
  <si>
    <t>long SetDateTime(long year,long month,long day,long hour,long minute,long second)</t>
  </si>
  <si>
    <t>long GetRecords(char* filename,int encry)</t>
  </si>
  <si>
    <t>long ClearRecords()</t>
  </si>
  <si>
    <t>long SetAgent(char *agent)</t>
  </si>
  <si>
    <t>long GetAgent(char **agent)</t>
  </si>
  <si>
    <t>void SetReadDataCallback(onReadData readDataCallback)</t>
  </si>
  <si>
    <t>typedef void (__stdcall *onReadData)(long totalpackets,long currentpacket);</t>
  </si>
  <si>
    <t>long SetAutoSendInterval(int mInterval);</t>
  </si>
  <si>
    <t>long GetAutoSendInterval();</t>
  </si>
  <si>
    <t>long SetLowAutoSendInterval(int mInterval);</t>
  </si>
  <si>
    <t>long GetLowAutoSendInterval();</t>
  </si>
  <si>
    <t>long SetIpAndPort(char* ip,int port)</t>
  </si>
  <si>
    <t>L3</t>
  </si>
  <si>
    <t>long SetDomain(char* domain,char* dns,int port)</t>
  </si>
  <si>
    <t>long GetServerParam(char** sparam)</t>
  </si>
  <si>
    <t>long SetDialParam(char* apn, char* userid, char* password, char* pin1, char* pin2)</t>
  </si>
  <si>
    <t>long GetDialParam(char** sparam)</t>
  </si>
  <si>
    <t>long GetImei(char** imei)</t>
  </si>
  <si>
    <t>L3,F3,L6,P6</t>
  </si>
  <si>
    <t>long SetCallreminder(int mType);</t>
  </si>
  <si>
    <t>mType 0 Slient，1 Vibration，2 Sound，3 Viration and Sound</t>
  </si>
  <si>
    <t>long GetCallreminder();</t>
  </si>
  <si>
    <t>long SetAddressBook(char* addressBook);</t>
  </si>
  <si>
    <t xml:space="preserve">下载通讯录 Download address book </t>
  </si>
  <si>
    <t>addressBook 通讯录脚本 脚本格式为 人名\t电话号码\t人员id\r\nD
addressBook script Format：name\t telephone number\t guard id\r\nD</t>
  </si>
  <si>
    <t>long GetAddressBook(char** addressBook);</t>
  </si>
  <si>
    <t xml:space="preserve">读取通讯录内容 Read address book </t>
  </si>
  <si>
    <t>addressBook 通讯录内容格式 人员id\t电话号码\r\n
addressBook content format guard id \t telephone\r\n</t>
  </si>
  <si>
    <t>long GetMaxAddressBook();</t>
  </si>
  <si>
    <t>最对允许下载通讯录个数 Maximum number of address bookallowed to download</t>
  </si>
  <si>
    <t>long GetCallLog(char* mfilename);</t>
  </si>
  <si>
    <t>读取通话记录 Read call log</t>
  </si>
  <si>
    <t>mFile 保存记录的文件 save the record file</t>
  </si>
  <si>
    <t>long ClearCallLog();</t>
  </si>
  <si>
    <t>清除通讯录记录 Clear call log</t>
  </si>
  <si>
    <t>long GenerateVoiceFile(char* sysVoiceFolder,char* outputFolder,char* text)</t>
  </si>
  <si>
    <t>生成播报声音 Generate Voice</t>
  </si>
  <si>
    <t>sysVoiceFolder：系统声音文件所在路径，末尾需要有路径分割符 
The path to the system sound file requires a path splitter at the end.
outputFolder:生成声音文件目录，末尾需要有路径分割符，生成成功后会在该目录下生成 jwmdevice.bin 和  duration 两个文件
Generate a directory of sound files with a path splitter at the end, and jwmdevice. Bin and duration files are generated
text:需要下载地点事件播报内容，内容的排序序号要和下载地点的对应事件对应上
You need to download the content of checkpoint event, and the sequence number of the content should be corresponding to the event of the download location</t>
  </si>
  <si>
    <t>long SetCheckPoint(char* checkpoints);</t>
  </si>
  <si>
    <t>下载巡检点 Dolad checkpoints</t>
  </si>
  <si>
    <t>long GetMaxCheckPoint();</t>
  </si>
  <si>
    <t>读取最大允许巡检点数 Read the maximum number of allowed patrol points</t>
  </si>
  <si>
    <t>long GetCheckPoint(Char** checkpoints);</t>
  </si>
  <si>
    <t>获取下载的巡检点 Get the checkpoint for the download</t>
  </si>
  <si>
    <t>long DownloadVoice(char* filename);</t>
  </si>
  <si>
    <t>下载声音文件 Download voive file</t>
  </si>
  <si>
    <t>filename:由 GenerateVoiceFile 生成的 jwmdevice.bin文件，该文件目录下需要有 duration。
jwmdevice. bin file generated by GenerateVoiceFile, which needs duration in the file directory.</t>
  </si>
  <si>
    <t>在读取、删除记录、校时间前需要调用 Verify(1)  Call before reading, deleting, and timing</t>
  </si>
  <si>
    <t>函数返回值 大于等于 0,与设备通讯成功，否则失败，失败原因见常量
The return value of the function is greater than or equal to 0, the communication with the device succeeds, otherwise it fails, the failure reason is shown in the constant</t>
  </si>
  <si>
    <t>type</t>
  </si>
  <si>
    <t>lineid</t>
  </si>
  <si>
    <t>guardid</t>
  </si>
  <si>
    <t>siteid</t>
  </si>
  <si>
    <t>longtiude</t>
  </si>
  <si>
    <t>latitude</t>
  </si>
  <si>
    <t>speed</t>
  </si>
  <si>
    <t>course</t>
  </si>
  <si>
    <t>sallites</t>
  </si>
  <si>
    <t>time</t>
  </si>
  <si>
    <t>image identification</t>
  </si>
  <si>
    <t>content</t>
  </si>
  <si>
    <t>yyMMddHHmmss</t>
  </si>
  <si>
    <t>0 GPS</t>
  </si>
  <si>
    <t>MMddHHmmss</t>
  </si>
  <si>
    <t>1 EM</t>
  </si>
  <si>
    <t>字段之间用 tab 符号分割,事件用 , 分割
Fields are separated by the TAB symbol, and events are separated by ",".</t>
  </si>
  <si>
    <t>sitename</t>
  </si>
  <si>
    <t>events</t>
  </si>
  <si>
    <t>longitude</t>
  </si>
  <si>
    <t>radius</t>
  </si>
  <si>
    <t>RFID</t>
  </si>
  <si>
    <t>GPS</t>
  </si>
  <si>
    <t xml:space="preserve">00AFCD11 site1 (1,2) 0.0 0.0 0
0F2C6002 site2 (0) 0.0 0.0 0
00A954A3 site3 (2) 0.0 0.0 0
00B66604 site4 (1,2,3) 0.0 0.0 0
07432D05 site5 (1) 0.0 0.0 0
</t>
  </si>
  <si>
    <t>00000001 gps1 (1,2) 123.123421 41.456185 15
00000002 gps2 (0) 123.125445 41.456786 25
00000003 gps3 (2) 123.128467 41.456789 35
00000004 gps4 (1,2,3) 123.123499 41.456281 15
00000005 gps5 (1) 123.123432 41.455785 15</t>
  </si>
  <si>
    <t>guardname</t>
  </si>
  <si>
    <t>00AFCD1A guard1
0F2C600B guard2
00A954AC guard3</t>
  </si>
  <si>
    <t>eventid</t>
  </si>
  <si>
    <t>eventname</t>
  </si>
  <si>
    <t>UNSUPPORT</t>
  </si>
  <si>
    <t>-0x0001</t>
  </si>
  <si>
    <t>unsuopprt function</t>
  </si>
  <si>
    <t>UNKNOWN</t>
  </si>
  <si>
    <t>-0x1000</t>
  </si>
  <si>
    <t>unknow device</t>
  </si>
  <si>
    <t>UNFOUND</t>
  </si>
  <si>
    <t>-0x1001</t>
  </si>
  <si>
    <t>unfound device</t>
  </si>
  <si>
    <t>WRITEFAIL</t>
  </si>
  <si>
    <t>-0x1002</t>
  </si>
  <si>
    <t>write falled</t>
  </si>
  <si>
    <t>READFAIL</t>
  </si>
  <si>
    <t>-0x1003</t>
  </si>
  <si>
    <t>read failed</t>
  </si>
  <si>
    <t>OPENFAIL</t>
  </si>
  <si>
    <t>-0x1004</t>
  </si>
  <si>
    <t>open failed</t>
  </si>
  <si>
    <t>CONNECTFAIL</t>
  </si>
  <si>
    <t>-0x1005</t>
  </si>
  <si>
    <t>connect failed</t>
  </si>
  <si>
    <t>DEVICETYPEERROR</t>
  </si>
  <si>
    <t>-0x1006</t>
  </si>
  <si>
    <t>device type error</t>
  </si>
  <si>
    <t>UNOPEND</t>
  </si>
  <si>
    <t>-0x1007</t>
  </si>
  <si>
    <t>unopen OpenDevice function</t>
  </si>
  <si>
    <t>FILENAMENULL</t>
  </si>
  <si>
    <t>-0x1008</t>
  </si>
  <si>
    <t>file name null</t>
  </si>
  <si>
    <t>FILEFAIL</t>
  </si>
  <si>
    <t>-0x1009</t>
  </si>
  <si>
    <t>failed file</t>
  </si>
  <si>
    <t>UNFOUNDIMG</t>
  </si>
  <si>
    <t>-0x1010</t>
  </si>
  <si>
    <t>unfound picture</t>
  </si>
  <si>
    <t>INITFAIL</t>
  </si>
  <si>
    <t>-0x1011</t>
  </si>
  <si>
    <t>failed initialization</t>
  </si>
  <si>
    <t>LOADDLLFAIL</t>
  </si>
  <si>
    <t>-0x1012</t>
  </si>
  <si>
    <t>load DLL failed</t>
  </si>
  <si>
    <t>READFILEFAIL</t>
  </si>
  <si>
    <t>-0x1013</t>
  </si>
  <si>
    <t>read file failed</t>
  </si>
  <si>
    <t>WRITEFILEFAIL</t>
  </si>
  <si>
    <t>-0x1014</t>
  </si>
  <si>
    <t>write file failed</t>
  </si>
  <si>
    <t>DEVICEMIS</t>
  </si>
  <si>
    <t>-0x1015</t>
  </si>
  <si>
    <t>device lose</t>
  </si>
  <si>
    <t>VERIFYFAIL</t>
  </si>
  <si>
    <t>-0x1016</t>
  </si>
  <si>
    <t>verify failed</t>
  </si>
  <si>
    <t>MEDIAFAIL</t>
  </si>
  <si>
    <t>-0x1017</t>
  </si>
  <si>
    <t>CONFIGFAIL</t>
  </si>
  <si>
    <t>-0x1018</t>
  </si>
  <si>
    <t>configuration failed</t>
  </si>
  <si>
    <t>UARTENABLEFAIL</t>
  </si>
  <si>
    <t>-0x1019</t>
  </si>
  <si>
    <t>open serial port failed</t>
  </si>
  <si>
    <t>READTIMEOUT</t>
  </si>
  <si>
    <t>-0x1020</t>
  </si>
  <si>
    <t>read time out</t>
  </si>
  <si>
    <t>FUNC</t>
    <phoneticPr fontId="4" type="noConversion"/>
  </si>
  <si>
    <t>Function</t>
    <phoneticPr fontId="4" type="noConversion"/>
  </si>
  <si>
    <t>Open device</t>
    <phoneticPr fontId="4" type="noConversion"/>
  </si>
  <si>
    <t>Close Decixe</t>
    <phoneticPr fontId="4" type="noConversion"/>
  </si>
  <si>
    <t>ID Get device</t>
    <phoneticPr fontId="4" type="noConversion"/>
  </si>
  <si>
    <t>Timing</t>
    <phoneticPr fontId="4" type="noConversion"/>
  </si>
  <si>
    <t>Verify</t>
    <phoneticPr fontId="4" type="noConversion"/>
  </si>
  <si>
    <t>Read records</t>
    <phoneticPr fontId="4" type="noConversion"/>
  </si>
  <si>
    <t>Clear Records</t>
    <phoneticPr fontId="4" type="noConversion"/>
  </si>
  <si>
    <t>Set up agent information</t>
    <phoneticPr fontId="4" type="noConversion"/>
  </si>
  <si>
    <t>Read agent information</t>
    <phoneticPr fontId="4" type="noConversion"/>
  </si>
  <si>
    <t xml:space="preserve">Set up read record and call back </t>
    <phoneticPr fontId="4" type="noConversion"/>
  </si>
  <si>
    <t>parameter expalin</t>
    <phoneticPr fontId="4" type="noConversion"/>
  </si>
  <si>
    <t xml:space="preserve">year ，month ,day ,hour ,minute ,second </t>
    <phoneticPr fontId="4" type="noConversion"/>
  </si>
  <si>
    <t>filename (full path file name),encry=0</t>
    <phoneticPr fontId="4" type="noConversion"/>
  </si>
  <si>
    <t>filename (full path file name)</t>
    <phoneticPr fontId="4" type="noConversion"/>
  </si>
  <si>
    <t>agent information</t>
    <phoneticPr fontId="4" type="noConversion"/>
  </si>
  <si>
    <t>ip:ip(address),port (port number)</t>
    <phoneticPr fontId="4" type="noConversion"/>
  </si>
  <si>
    <t>domain:,dns:dns(8.8.8.8)
(domestic general use 114.114.114, foreign general use 8.8.8.8)</t>
    <phoneticPr fontId="4" type="noConversion"/>
  </si>
  <si>
    <t>serveraddress:port or domain:port,dns</t>
    <phoneticPr fontId="4" type="noConversion"/>
  </si>
  <si>
    <t>apn=?,userid=?,password=?,pin1=?,pin2=?</t>
    <phoneticPr fontId="4" type="noConversion"/>
  </si>
  <si>
    <r>
      <t>imei</t>
    </r>
    <r>
      <rPr>
        <sz val="11"/>
        <color theme="1"/>
        <rFont val="宋体"/>
        <family val="3"/>
        <charset val="134"/>
        <scheme val="minor"/>
      </rPr>
      <t xml:space="preserve"> number</t>
    </r>
    <phoneticPr fontId="4" type="noConversion"/>
  </si>
  <si>
    <t>Auto retransmission interval units:s</t>
    <phoneticPr fontId="4" type="noConversion"/>
  </si>
  <si>
    <t>Read auto transmission internal</t>
    <phoneticPr fontId="4" type="noConversion"/>
  </si>
  <si>
    <t>Low power alarm auto transmission internal</t>
    <phoneticPr fontId="4" type="noConversion"/>
  </si>
  <si>
    <t>Set up IP address and port number</t>
    <phoneticPr fontId="4" type="noConversion"/>
  </si>
  <si>
    <t>Set up domain name</t>
    <phoneticPr fontId="4" type="noConversion"/>
  </si>
  <si>
    <t>(IP,Port 或 domain)read service address</t>
    <phoneticPr fontId="4" type="noConversion"/>
  </si>
  <si>
    <t>set up dial parameters</t>
    <phoneticPr fontId="4" type="noConversion"/>
  </si>
  <si>
    <t>Imei Read Imei</t>
    <phoneticPr fontId="4" type="noConversion"/>
  </si>
  <si>
    <t>Set call reminder mode</t>
    <phoneticPr fontId="4" type="noConversion"/>
  </si>
  <si>
    <t>Read dial parameters</t>
    <phoneticPr fontId="4" type="noConversion"/>
  </si>
  <si>
    <t>Read call reminder mode</t>
    <phoneticPr fontId="4" type="noConversion"/>
  </si>
  <si>
    <t>record</t>
    <phoneticPr fontId="4" type="noConversion"/>
  </si>
  <si>
    <t>data category</t>
    <phoneticPr fontId="4" type="noConversion"/>
  </si>
  <si>
    <t xml:space="preserve">0 trajectory data </t>
    <phoneticPr fontId="4" type="noConversion"/>
  </si>
  <si>
    <t>1 gps fixed point data</t>
    <phoneticPr fontId="4" type="noConversion"/>
  </si>
  <si>
    <t>2 Free point data</t>
    <phoneticPr fontId="4" type="noConversion"/>
  </si>
  <si>
    <t>3 low power data</t>
    <phoneticPr fontId="4" type="noConversion"/>
  </si>
  <si>
    <t xml:space="preserve">4 Manual alarm data </t>
    <phoneticPr fontId="4" type="noConversion"/>
  </si>
  <si>
    <t>5 random event record</t>
    <phoneticPr fontId="4" type="noConversion"/>
  </si>
  <si>
    <r>
      <t xml:space="preserve">6 </t>
    </r>
    <r>
      <rPr>
        <sz val="11"/>
        <color theme="1"/>
        <rFont val="宋体"/>
        <family val="3"/>
        <charset val="134"/>
        <scheme val="minor"/>
      </rPr>
      <t>open device event record</t>
    </r>
    <phoneticPr fontId="4" type="noConversion"/>
  </si>
  <si>
    <t>7 video record</t>
    <phoneticPr fontId="4" type="noConversion"/>
  </si>
  <si>
    <t>8 picture record</t>
    <phoneticPr fontId="4" type="noConversion"/>
  </si>
  <si>
    <t>9 break record</t>
    <phoneticPr fontId="4" type="noConversion"/>
  </si>
  <si>
    <t>10 Static alarm</t>
    <phoneticPr fontId="4" type="noConversion"/>
  </si>
  <si>
    <t>11 tilt alarm</t>
    <phoneticPr fontId="4" type="noConversion"/>
  </si>
  <si>
    <t>collect data</t>
    <phoneticPr fontId="4" type="noConversion"/>
  </si>
  <si>
    <t>id</t>
    <phoneticPr fontId="4" type="noConversion"/>
  </si>
  <si>
    <r>
      <t>t</t>
    </r>
    <r>
      <rPr>
        <sz val="11"/>
        <color theme="1"/>
        <rFont val="宋体"/>
        <family val="3"/>
        <charset val="134"/>
        <scheme val="minor"/>
      </rPr>
      <t>ime</t>
    </r>
    <phoneticPr fontId="4" type="noConversion"/>
  </si>
  <si>
    <t>Step count</t>
    <phoneticPr fontId="4" type="noConversion"/>
  </si>
  <si>
    <t>() ()</t>
    <phoneticPr fontId="4" type="noConversion"/>
  </si>
  <si>
    <t xml:space="preserve">
Events are enclosed by (), if no event is 0</t>
    <phoneticPr fontId="4" type="noConversion"/>
  </si>
  <si>
    <t>checkpoint data</t>
    <phoneticPr fontId="4" type="noConversion"/>
  </si>
  <si>
    <t>guard report</t>
    <phoneticPr fontId="4" type="noConversion"/>
  </si>
  <si>
    <r>
      <t>p</t>
    </r>
    <r>
      <rPr>
        <sz val="11"/>
        <color theme="1"/>
        <rFont val="宋体"/>
        <family val="3"/>
        <charset val="134"/>
        <scheme val="minor"/>
      </rPr>
      <t>atrol event</t>
    </r>
    <phoneticPr fontId="4" type="noConversion"/>
  </si>
  <si>
    <t>Fields are separated by "\t"</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</si>
</sst>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宋体"/>
      <charset val="134"/>
      <scheme val="minor"/>
    </font>
    <font>
      <sz val="10.5"/>
      <color rgb="FF32220E"/>
      <name val="Arial"/>
      <family val="2"/>
    </font>
    <font>
      <sz val="11"/>
      <color theme="5"/>
      <name val="宋体"/>
      <family val="3"/>
      <charset val="134"/>
      <scheme val="minor"/>
    </font>
    <font>
      <sz val="11"/>
      <color rgb="FFFF0000"/>
      <name val="宋体"/>
      <family val="3"/>
      <charset val="134"/>
      <scheme val="minor"/>
    </font>
    <font>
      <sz val="9"/>
      <name val="宋体"/>
      <family val="3"/>
      <charset val="134"/>
      <scheme val="minor"/>
    </font>
    <font>
      <sz val="11"/>
      <color theme="1"/>
      <name val="宋体"/>
      <family val="3"/>
      <charset val="134"/>
      <scheme val="minor"/>
    </font>
    <font>
      <sz val="11"/>
      <color theme="5"/>
      <name val="宋体"/>
      <family val="3"/>
      <charset val="134"/>
      <scheme val="minor"/>
    </font>
  </fonts>
  <fills count="5">
    <fill>
      <patternFill patternType="none"/>
    </fill>
    <fill>
      <patternFill patternType="gray125"/>
    </fill>
    <fill>
      <patternFill patternType="solid">
        <fgColor theme="2"/>
        <bgColor indexed="64"/>
      </patternFill>
    </fill>
    <fill>
      <patternFill patternType="solid">
        <fgColor theme="0" tint="-4.9989318521683403E-2"/>
        <bgColor indexed="64"/>
      </patternFill>
    </fill>
    <fill>
      <patternFill patternType="solid">
        <fgColor theme="0" tint="-0.14999847407452621"/>
        <bgColor indexed="64"/>
      </patternFill>
    </fill>
  </fills>
  <borders count="1">
    <border>
      <left/>
      <right/>
      <top/>
      <bottom/>
      <diagonal/>
    </border>
  </borders>
  <cellStyleXfs count="1">
    <xf numFmtId="0" fontId="0" fillId="0" borderId="0">
      <alignment vertical="center"/>
    </xf>
  </cellStyleXfs>
  <cellXfs count="23">
    <xf numFmtId="0" fontId="0" fillId="0" borderId="0" xfId="0">
      <alignment vertical="center"/>
    </xf>
    <xf numFmtId="0" fontId="0" fillId="2" borderId="0" xfId="0" applyFill="1">
      <alignment vertical="center"/>
    </xf>
    <xf numFmtId="0" fontId="0" fillId="0" borderId="0" xfId="0" applyAlignment="1">
      <alignment vertical="center" wrapText="1"/>
    </xf>
    <xf numFmtId="0" fontId="0" fillId="0" borderId="0" xfId="0" applyNumberFormat="1" applyAlignment="1">
      <alignment vertical="center"/>
    </xf>
    <xf numFmtId="0" fontId="0" fillId="0" borderId="0" xfId="0" applyNumberFormat="1" applyAlignment="1">
      <alignment vertical="center" wrapText="1"/>
    </xf>
    <xf numFmtId="0" fontId="1" fillId="0" borderId="0" xfId="0" applyFont="1">
      <alignment vertical="center"/>
    </xf>
    <xf numFmtId="0" fontId="0" fillId="3" borderId="0" xfId="0" applyNumberFormat="1" applyFill="1">
      <alignment vertical="center"/>
    </xf>
    <xf numFmtId="0" fontId="2" fillId="0" borderId="0" xfId="0" applyFont="1">
      <alignment vertical="center"/>
    </xf>
    <xf numFmtId="0" fontId="0" fillId="4" borderId="0" xfId="0" applyNumberFormat="1" applyFill="1">
      <alignment vertical="center"/>
    </xf>
    <xf numFmtId="0" fontId="0" fillId="0" borderId="0" xfId="0" applyAlignment="1">
      <alignment vertical="center" wrapText="1"/>
    </xf>
    <xf numFmtId="0" fontId="0" fillId="0" borderId="0" xfId="0" applyFont="1" applyAlignment="1">
      <alignment vertical="center" wrapText="1"/>
    </xf>
    <xf numFmtId="0" fontId="0" fillId="0" borderId="0" xfId="0" applyFont="1">
      <alignment vertical="center"/>
    </xf>
    <xf numFmtId="0" fontId="3" fillId="0" borderId="0" xfId="0" applyFont="1">
      <alignment vertical="center"/>
    </xf>
    <xf numFmtId="0" fontId="3" fillId="0" borderId="0" xfId="0" applyFont="1" applyAlignment="1">
      <alignment vertical="center" wrapText="1"/>
    </xf>
    <xf numFmtId="0" fontId="0" fillId="0" borderId="0" xfId="0" quotePrefix="1">
      <alignment vertical="center"/>
    </xf>
    <xf numFmtId="0" fontId="5" fillId="0" borderId="0" xfId="0" applyFont="1">
      <alignment vertical="center"/>
    </xf>
    <xf numFmtId="0" fontId="5" fillId="3" borderId="0" xfId="0" applyNumberFormat="1" applyFont="1" applyFill="1">
      <alignment vertical="center"/>
    </xf>
    <xf numFmtId="0" fontId="6" fillId="0" borderId="0" xfId="0" applyFont="1">
      <alignment vertical="center"/>
    </xf>
    <xf numFmtId="0" fontId="5" fillId="0" borderId="0" xfId="0" applyNumberFormat="1" applyFont="1" applyAlignment="1">
      <alignment vertical="center" wrapText="1"/>
    </xf>
    <xf numFmtId="0" fontId="5" fillId="2" borderId="0" xfId="0" applyFont="1" applyFill="1">
      <alignment vertical="center"/>
    </xf>
    <xf numFmtId="0" fontId="5" fillId="0" borderId="0" xfId="0" applyFont="1" applyAlignment="1">
      <alignment vertical="center" wrapText="1"/>
    </xf>
    <xf numFmtId="0" fontId="0" fillId="0" borderId="0" xfId="0" applyNumberFormat="1" applyAlignment="1">
      <alignment vertical="center"/>
    </xf>
    <xf numFmtId="0" fontId="0" fillId="0" borderId="0" xfId="0" applyNumberFormat="1" applyAlignment="1">
      <alignment vertical="center" wrapText="1"/>
    </xf>
  </cellXfs>
  <cellStyles count="1">
    <cellStyle name="常规" xfId="0" builtinId="0"/>
  </cellStyles>
  <dxfs count="0"/>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4"/>
  <sheetViews>
    <sheetView tabSelected="1" topLeftCell="A34" zoomScaleNormal="100" workbookViewId="0">
      <selection sqref="A1:F1"/>
    </sheetView>
  </sheetViews>
  <sheetFormatPr defaultColWidth="9" defaultRowHeight="14.4" x14ac:dyDescent="0.25"/>
  <cols>
    <col min="1" max="1" width="103.109375" customWidth="1"/>
    <col min="2" max="2" width="69.77734375" customWidth="1"/>
    <col min="3" max="3" width="79.88671875" customWidth="1"/>
    <col min="4" max="4" width="33" customWidth="1"/>
    <col min="5" max="5" width="31.21875" customWidth="1"/>
    <col min="6" max="6" width="28.77734375" customWidth="1"/>
  </cols>
  <sheetData>
    <row r="1" spans="1:6" s="6" customFormat="1" x14ac:dyDescent="0.25">
      <c r="A1" s="16" t="s">
        <v>153</v>
      </c>
      <c r="B1" s="16" t="s">
        <v>154</v>
      </c>
      <c r="C1" s="16" t="s">
        <v>165</v>
      </c>
      <c r="D1" s="6" t="s">
        <v>0</v>
      </c>
      <c r="E1" s="6" t="s">
        <v>1</v>
      </c>
      <c r="F1" s="6" t="s">
        <v>2</v>
      </c>
    </row>
    <row r="2" spans="1:6" x14ac:dyDescent="0.25">
      <c r="A2" t="s">
        <v>3</v>
      </c>
      <c r="B2" s="15" t="s">
        <v>155</v>
      </c>
      <c r="D2" t="s">
        <v>4</v>
      </c>
    </row>
    <row r="3" spans="1:6" x14ac:dyDescent="0.25">
      <c r="A3" t="s">
        <v>5</v>
      </c>
      <c r="B3" s="15" t="s">
        <v>156</v>
      </c>
    </row>
    <row r="4" spans="1:6" x14ac:dyDescent="0.25">
      <c r="A4" t="s">
        <v>6</v>
      </c>
      <c r="B4" s="15" t="s">
        <v>157</v>
      </c>
      <c r="D4" t="s">
        <v>7</v>
      </c>
    </row>
    <row r="5" spans="1:6" x14ac:dyDescent="0.25">
      <c r="A5" t="s">
        <v>8</v>
      </c>
      <c r="B5" s="15" t="s">
        <v>159</v>
      </c>
      <c r="C5" t="s">
        <v>9</v>
      </c>
    </row>
    <row r="6" spans="1:6" x14ac:dyDescent="0.25">
      <c r="A6" s="4" t="s">
        <v>10</v>
      </c>
      <c r="B6" s="15" t="s">
        <v>158</v>
      </c>
      <c r="C6" s="15" t="s">
        <v>166</v>
      </c>
    </row>
    <row r="7" spans="1:6" x14ac:dyDescent="0.25">
      <c r="A7" t="s">
        <v>11</v>
      </c>
      <c r="B7" s="15" t="s">
        <v>160</v>
      </c>
      <c r="C7" s="15" t="s">
        <v>167</v>
      </c>
    </row>
    <row r="8" spans="1:6" x14ac:dyDescent="0.25">
      <c r="A8" t="s">
        <v>12</v>
      </c>
      <c r="B8" s="15" t="s">
        <v>161</v>
      </c>
      <c r="C8" s="15" t="s">
        <v>168</v>
      </c>
    </row>
    <row r="10" spans="1:6" s="7" customFormat="1" x14ac:dyDescent="0.25">
      <c r="A10" s="7" t="s">
        <v>13</v>
      </c>
      <c r="B10" s="17" t="s">
        <v>162</v>
      </c>
      <c r="C10" s="17" t="s">
        <v>169</v>
      </c>
    </row>
    <row r="11" spans="1:6" s="7" customFormat="1" x14ac:dyDescent="0.25">
      <c r="A11" s="7" t="s">
        <v>14</v>
      </c>
      <c r="B11" s="17" t="s">
        <v>163</v>
      </c>
      <c r="C11" s="17" t="s">
        <v>169</v>
      </c>
    </row>
    <row r="12" spans="1:6" x14ac:dyDescent="0.25">
      <c r="A12" t="s">
        <v>15</v>
      </c>
      <c r="B12" s="15" t="s">
        <v>164</v>
      </c>
      <c r="C12" s="4" t="s">
        <v>16</v>
      </c>
    </row>
    <row r="13" spans="1:6" s="8" customFormat="1" x14ac:dyDescent="0.25"/>
    <row r="14" spans="1:6" s="8" customFormat="1" x14ac:dyDescent="0.25"/>
    <row r="16" spans="1:6" x14ac:dyDescent="0.25">
      <c r="A16" t="s">
        <v>17</v>
      </c>
      <c r="B16" s="15" t="s">
        <v>175</v>
      </c>
    </row>
    <row r="17" spans="1:5" x14ac:dyDescent="0.25">
      <c r="A17" t="s">
        <v>18</v>
      </c>
      <c r="B17" s="15" t="s">
        <v>176</v>
      </c>
    </row>
    <row r="19" spans="1:5" x14ac:dyDescent="0.25">
      <c r="A19" t="s">
        <v>19</v>
      </c>
      <c r="B19" s="15" t="s">
        <v>177</v>
      </c>
    </row>
    <row r="20" spans="1:5" x14ac:dyDescent="0.25">
      <c r="A20" t="s">
        <v>20</v>
      </c>
    </row>
    <row r="22" spans="1:5" x14ac:dyDescent="0.25">
      <c r="A22" t="s">
        <v>21</v>
      </c>
      <c r="B22" s="15" t="s">
        <v>178</v>
      </c>
      <c r="C22" s="15" t="s">
        <v>170</v>
      </c>
      <c r="E22" t="s">
        <v>22</v>
      </c>
    </row>
    <row r="23" spans="1:5" ht="28.8" x14ac:dyDescent="0.25">
      <c r="A23" t="s">
        <v>23</v>
      </c>
      <c r="B23" s="15" t="s">
        <v>179</v>
      </c>
      <c r="C23" s="18" t="s">
        <v>171</v>
      </c>
      <c r="E23" t="s">
        <v>22</v>
      </c>
    </row>
    <row r="24" spans="1:5" x14ac:dyDescent="0.25">
      <c r="A24" t="s">
        <v>24</v>
      </c>
      <c r="B24" s="15" t="s">
        <v>180</v>
      </c>
      <c r="C24" s="15" t="s">
        <v>172</v>
      </c>
      <c r="E24" t="s">
        <v>22</v>
      </c>
    </row>
    <row r="25" spans="1:5" x14ac:dyDescent="0.25">
      <c r="A25" s="4" t="s">
        <v>25</v>
      </c>
      <c r="B25" s="15" t="s">
        <v>181</v>
      </c>
      <c r="E25" t="s">
        <v>22</v>
      </c>
    </row>
    <row r="26" spans="1:5" x14ac:dyDescent="0.25">
      <c r="A26" t="s">
        <v>26</v>
      </c>
      <c r="B26" s="15" t="s">
        <v>184</v>
      </c>
      <c r="C26" s="15" t="s">
        <v>173</v>
      </c>
      <c r="E26" t="s">
        <v>22</v>
      </c>
    </row>
    <row r="27" spans="1:5" x14ac:dyDescent="0.25">
      <c r="A27" t="s">
        <v>27</v>
      </c>
      <c r="B27" s="15" t="s">
        <v>182</v>
      </c>
      <c r="C27" s="15" t="s">
        <v>174</v>
      </c>
      <c r="E27" t="s">
        <v>28</v>
      </c>
    </row>
    <row r="29" spans="1:5" x14ac:dyDescent="0.25">
      <c r="A29" t="s">
        <v>29</v>
      </c>
      <c r="B29" s="15" t="s">
        <v>183</v>
      </c>
      <c r="C29" t="s">
        <v>30</v>
      </c>
    </row>
    <row r="30" spans="1:5" x14ac:dyDescent="0.25">
      <c r="A30" t="s">
        <v>31</v>
      </c>
      <c r="B30" s="15" t="s">
        <v>185</v>
      </c>
    </row>
    <row r="32" spans="1:5" ht="28.8" x14ac:dyDescent="0.25">
      <c r="A32" t="s">
        <v>32</v>
      </c>
      <c r="B32" t="s">
        <v>33</v>
      </c>
      <c r="C32" s="9" t="s">
        <v>34</v>
      </c>
    </row>
    <row r="34" spans="1:3" ht="28.8" x14ac:dyDescent="0.25">
      <c r="A34" t="s">
        <v>35</v>
      </c>
      <c r="B34" t="s">
        <v>36</v>
      </c>
      <c r="C34" s="9" t="s">
        <v>37</v>
      </c>
    </row>
    <row r="35" spans="1:3" x14ac:dyDescent="0.25">
      <c r="A35" t="s">
        <v>38</v>
      </c>
      <c r="B35" t="s">
        <v>39</v>
      </c>
    </row>
    <row r="37" spans="1:3" x14ac:dyDescent="0.25">
      <c r="A37" t="s">
        <v>40</v>
      </c>
      <c r="B37" t="s">
        <v>41</v>
      </c>
      <c r="C37" t="s">
        <v>42</v>
      </c>
    </row>
    <row r="38" spans="1:3" x14ac:dyDescent="0.25">
      <c r="A38" t="s">
        <v>43</v>
      </c>
      <c r="B38" t="s">
        <v>44</v>
      </c>
    </row>
    <row r="40" spans="1:3" ht="151.19999999999999" customHeight="1" x14ac:dyDescent="0.25">
      <c r="A40" s="9" t="s">
        <v>45</v>
      </c>
      <c r="B40" t="s">
        <v>46</v>
      </c>
      <c r="C40" s="10" t="s">
        <v>47</v>
      </c>
    </row>
    <row r="41" spans="1:3" x14ac:dyDescent="0.25">
      <c r="A41" t="s">
        <v>48</v>
      </c>
      <c r="B41" t="s">
        <v>49</v>
      </c>
      <c r="C41" s="10"/>
    </row>
    <row r="42" spans="1:3" x14ac:dyDescent="0.25">
      <c r="C42" s="11"/>
    </row>
    <row r="43" spans="1:3" x14ac:dyDescent="0.25">
      <c r="A43" t="s">
        <v>50</v>
      </c>
      <c r="B43" t="s">
        <v>51</v>
      </c>
      <c r="C43" s="11"/>
    </row>
    <row r="44" spans="1:3" x14ac:dyDescent="0.25">
      <c r="A44" t="s">
        <v>52</v>
      </c>
      <c r="B44" t="s">
        <v>53</v>
      </c>
      <c r="C44" s="11"/>
    </row>
    <row r="45" spans="1:3" ht="57.6" x14ac:dyDescent="0.25">
      <c r="A45" t="s">
        <v>54</v>
      </c>
      <c r="B45" t="s">
        <v>55</v>
      </c>
      <c r="C45" s="10" t="s">
        <v>56</v>
      </c>
    </row>
    <row r="52" spans="1:1" x14ac:dyDescent="0.25">
      <c r="A52" s="12" t="s">
        <v>57</v>
      </c>
    </row>
    <row r="53" spans="1:1" x14ac:dyDescent="0.25">
      <c r="A53" s="12"/>
    </row>
    <row r="54" spans="1:1" ht="43.2" x14ac:dyDescent="0.25">
      <c r="A54" s="13" t="s">
        <v>58</v>
      </c>
    </row>
  </sheetData>
  <phoneticPr fontId="4" type="noConversion"/>
  <pageMargins left="0.75" right="0.75" top="1" bottom="1" header="0.51180555555555596" footer="0.5118055555555559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1"/>
  <sheetViews>
    <sheetView topLeftCell="C1" workbookViewId="0">
      <selection activeCell="O24" sqref="O24"/>
    </sheetView>
  </sheetViews>
  <sheetFormatPr defaultColWidth="9" defaultRowHeight="14.4" x14ac:dyDescent="0.25"/>
  <cols>
    <col min="1" max="1" width="49.6640625" customWidth="1"/>
    <col min="2" max="2" width="14.44140625" customWidth="1"/>
    <col min="3" max="3" width="16.109375" customWidth="1"/>
    <col min="4" max="4" width="16.44140625" customWidth="1"/>
    <col min="5" max="5" width="13.88671875" customWidth="1"/>
    <col min="6" max="6" width="11.44140625" customWidth="1"/>
    <col min="9" max="9" width="14.21875" customWidth="1"/>
    <col min="10" max="10" width="13.77734375" customWidth="1"/>
    <col min="11" max="11" width="20.109375" customWidth="1"/>
    <col min="12" max="12" width="13.77734375" customWidth="1"/>
    <col min="13" max="13" width="20.44140625" customWidth="1"/>
    <col min="14" max="14" width="14.21875" customWidth="1"/>
  </cols>
  <sheetData>
    <row r="1" spans="1:13" x14ac:dyDescent="0.25">
      <c r="A1" s="15" t="s">
        <v>186</v>
      </c>
    </row>
    <row r="3" spans="1:13" x14ac:dyDescent="0.25">
      <c r="A3" s="15" t="s">
        <v>187</v>
      </c>
      <c r="B3" s="15"/>
    </row>
    <row r="4" spans="1:13" x14ac:dyDescent="0.25">
      <c r="A4" t="s">
        <v>59</v>
      </c>
      <c r="B4" t="s">
        <v>60</v>
      </c>
      <c r="C4" t="s">
        <v>61</v>
      </c>
      <c r="D4" t="s">
        <v>62</v>
      </c>
      <c r="E4" t="s">
        <v>63</v>
      </c>
      <c r="F4" t="s">
        <v>64</v>
      </c>
      <c r="G4" t="s">
        <v>65</v>
      </c>
      <c r="H4" t="s">
        <v>66</v>
      </c>
      <c r="I4" t="s">
        <v>67</v>
      </c>
      <c r="J4" t="s">
        <v>68</v>
      </c>
      <c r="K4" t="s">
        <v>69</v>
      </c>
      <c r="L4" s="15" t="s">
        <v>203</v>
      </c>
      <c r="M4" t="s">
        <v>70</v>
      </c>
    </row>
    <row r="5" spans="1:13" x14ac:dyDescent="0.25">
      <c r="A5" s="15" t="s">
        <v>188</v>
      </c>
      <c r="J5" t="s">
        <v>71</v>
      </c>
      <c r="M5" s="15" t="s">
        <v>204</v>
      </c>
    </row>
    <row r="6" spans="1:13" x14ac:dyDescent="0.25">
      <c r="A6" s="15" t="s">
        <v>189</v>
      </c>
    </row>
    <row r="7" spans="1:13" x14ac:dyDescent="0.25">
      <c r="A7" s="15" t="s">
        <v>190</v>
      </c>
    </row>
    <row r="8" spans="1:13" x14ac:dyDescent="0.25">
      <c r="A8" s="15" t="s">
        <v>191</v>
      </c>
    </row>
    <row r="9" spans="1:13" x14ac:dyDescent="0.25">
      <c r="A9" s="15" t="s">
        <v>192</v>
      </c>
    </row>
    <row r="10" spans="1:13" x14ac:dyDescent="0.25">
      <c r="A10" s="15" t="s">
        <v>193</v>
      </c>
    </row>
    <row r="11" spans="1:13" x14ac:dyDescent="0.25">
      <c r="A11" s="15" t="s">
        <v>194</v>
      </c>
    </row>
    <row r="12" spans="1:13" x14ac:dyDescent="0.25">
      <c r="A12" s="15" t="s">
        <v>195</v>
      </c>
    </row>
    <row r="13" spans="1:13" x14ac:dyDescent="0.25">
      <c r="A13" s="15" t="s">
        <v>196</v>
      </c>
    </row>
    <row r="14" spans="1:13" x14ac:dyDescent="0.25">
      <c r="A14" s="15" t="s">
        <v>197</v>
      </c>
    </row>
    <row r="15" spans="1:13" x14ac:dyDescent="0.25">
      <c r="A15" s="15" t="s">
        <v>198</v>
      </c>
    </row>
    <row r="16" spans="1:13" x14ac:dyDescent="0.25">
      <c r="A16" s="15" t="s">
        <v>199</v>
      </c>
    </row>
    <row r="18" spans="1:5" x14ac:dyDescent="0.25">
      <c r="A18" s="15" t="s">
        <v>200</v>
      </c>
    </row>
    <row r="19" spans="1:5" x14ac:dyDescent="0.25">
      <c r="A19" s="15" t="s">
        <v>187</v>
      </c>
      <c r="B19" s="15" t="s">
        <v>201</v>
      </c>
      <c r="E19" s="15" t="s">
        <v>202</v>
      </c>
    </row>
    <row r="20" spans="1:5" x14ac:dyDescent="0.25">
      <c r="A20" t="s">
        <v>72</v>
      </c>
      <c r="B20" t="s">
        <v>62</v>
      </c>
      <c r="C20" t="s">
        <v>63</v>
      </c>
      <c r="D20" t="s">
        <v>64</v>
      </c>
      <c r="E20" t="s">
        <v>73</v>
      </c>
    </row>
    <row r="21" spans="1:5" x14ac:dyDescent="0.25">
      <c r="A21" t="s">
        <v>74</v>
      </c>
    </row>
    <row r="31" spans="1:5" ht="60" customHeight="1" x14ac:dyDescent="0.25">
      <c r="A31" s="2" t="s">
        <v>75</v>
      </c>
    </row>
  </sheetData>
  <phoneticPr fontId="4" type="noConversion"/>
  <pageMargins left="0.75" right="0.75" top="1" bottom="1" header="0.51180555555555596" footer="0.5118055555555559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5"/>
  <sheetViews>
    <sheetView zoomScaleNormal="100" workbookViewId="0">
      <selection activeCell="G18" sqref="G18"/>
    </sheetView>
  </sheetViews>
  <sheetFormatPr defaultColWidth="9" defaultRowHeight="14.4" x14ac:dyDescent="0.25"/>
  <cols>
    <col min="1" max="1" width="19.44140625" customWidth="1"/>
    <col min="8" max="8" width="42.44140625" customWidth="1"/>
    <col min="9" max="9" width="17" customWidth="1"/>
  </cols>
  <sheetData>
    <row r="1" spans="1:11" x14ac:dyDescent="0.25">
      <c r="A1" s="19" t="s">
        <v>206</v>
      </c>
      <c r="B1" s="1"/>
      <c r="C1" s="1"/>
      <c r="D1" s="1"/>
      <c r="E1" s="1"/>
      <c r="F1" s="1"/>
      <c r="G1" s="1"/>
      <c r="H1" s="1"/>
      <c r="I1" s="1"/>
      <c r="J1" s="1"/>
      <c r="K1" s="1"/>
    </row>
    <row r="2" spans="1:11" ht="43.2" x14ac:dyDescent="0.25">
      <c r="A2" t="s">
        <v>62</v>
      </c>
      <c r="B2" t="s">
        <v>76</v>
      </c>
      <c r="C2" t="s">
        <v>77</v>
      </c>
      <c r="D2" t="s">
        <v>78</v>
      </c>
      <c r="E2" t="s">
        <v>64</v>
      </c>
      <c r="F2" t="s">
        <v>79</v>
      </c>
      <c r="H2" s="20" t="s">
        <v>205</v>
      </c>
    </row>
    <row r="3" spans="1:11" ht="23.1" customHeight="1" x14ac:dyDescent="0.25">
      <c r="A3" s="21" t="s">
        <v>80</v>
      </c>
      <c r="B3" s="21"/>
      <c r="C3" s="21"/>
      <c r="D3" s="21"/>
      <c r="E3" s="21" t="s">
        <v>81</v>
      </c>
      <c r="F3" s="21"/>
      <c r="G3" s="21"/>
      <c r="H3" s="21"/>
      <c r="I3" s="21"/>
      <c r="J3" s="3"/>
      <c r="K3" s="3"/>
    </row>
    <row r="4" spans="1:11" ht="129" customHeight="1" x14ac:dyDescent="0.25">
      <c r="A4" s="22" t="s">
        <v>82</v>
      </c>
      <c r="B4" s="21"/>
      <c r="C4" s="21"/>
      <c r="D4" s="21"/>
      <c r="E4" s="22" t="s">
        <v>83</v>
      </c>
      <c r="F4" s="21"/>
      <c r="G4" s="21"/>
      <c r="H4" s="21"/>
      <c r="I4" s="21"/>
      <c r="J4" s="3"/>
      <c r="K4" s="3"/>
    </row>
    <row r="5" spans="1:11" x14ac:dyDescent="0.25">
      <c r="F5" s="5"/>
    </row>
    <row r="6" spans="1:11" x14ac:dyDescent="0.25">
      <c r="A6" s="19" t="s">
        <v>207</v>
      </c>
      <c r="B6" s="1"/>
      <c r="C6" s="1"/>
      <c r="D6" s="1"/>
      <c r="E6" s="1"/>
      <c r="F6" s="1"/>
      <c r="G6" s="1"/>
      <c r="H6" s="1"/>
      <c r="I6" s="1"/>
      <c r="J6" s="1"/>
      <c r="K6" s="1"/>
    </row>
    <row r="7" spans="1:11" x14ac:dyDescent="0.25">
      <c r="A7" t="s">
        <v>61</v>
      </c>
      <c r="B7" t="s">
        <v>84</v>
      </c>
    </row>
    <row r="8" spans="1:11" x14ac:dyDescent="0.25">
      <c r="A8" s="22" t="s">
        <v>85</v>
      </c>
      <c r="B8" s="21"/>
    </row>
    <row r="9" spans="1:11" ht="87.9" customHeight="1" x14ac:dyDescent="0.25">
      <c r="A9" s="21"/>
      <c r="B9" s="21"/>
    </row>
    <row r="10" spans="1:11" x14ac:dyDescent="0.25">
      <c r="A10" s="19" t="s">
        <v>208</v>
      </c>
      <c r="B10" s="1"/>
      <c r="C10" s="1"/>
      <c r="D10" s="1"/>
      <c r="E10" s="1"/>
      <c r="F10" s="1"/>
      <c r="G10" s="1"/>
      <c r="H10" s="1"/>
      <c r="I10" s="1"/>
      <c r="J10" s="1"/>
      <c r="K10" s="1"/>
    </row>
    <row r="11" spans="1:11" x14ac:dyDescent="0.25">
      <c r="A11" t="s">
        <v>86</v>
      </c>
      <c r="B11" t="s">
        <v>87</v>
      </c>
    </row>
    <row r="15" spans="1:11" ht="28.8" x14ac:dyDescent="0.25">
      <c r="A15" s="20" t="s">
        <v>209</v>
      </c>
    </row>
  </sheetData>
  <mergeCells count="5">
    <mergeCell ref="A3:D3"/>
    <mergeCell ref="E3:I3"/>
    <mergeCell ref="A4:D4"/>
    <mergeCell ref="E4:I4"/>
    <mergeCell ref="A8:B9"/>
  </mergeCells>
  <phoneticPr fontId="4" type="noConversion"/>
  <pageMargins left="0.75" right="0.75" top="1" bottom="1" header="0.51180555555555596" footer="0.5118055555555559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2"/>
  <sheetViews>
    <sheetView workbookViewId="0">
      <selection activeCell="H21" sqref="H21"/>
    </sheetView>
  </sheetViews>
  <sheetFormatPr defaultColWidth="9" defaultRowHeight="14.4" x14ac:dyDescent="0.25"/>
  <cols>
    <col min="1" max="1" width="16.109375" customWidth="1"/>
    <col min="2" max="2" width="12" customWidth="1"/>
    <col min="3" max="3" width="7" customWidth="1"/>
    <col min="4" max="4" width="22.109375" customWidth="1"/>
  </cols>
  <sheetData>
    <row r="1" spans="1:4" x14ac:dyDescent="0.25">
      <c r="A1" t="s">
        <v>88</v>
      </c>
      <c r="B1" s="14" t="s">
        <v>89</v>
      </c>
      <c r="C1">
        <f>HEX2DEC(1)</f>
        <v>1</v>
      </c>
      <c r="D1" t="s">
        <v>90</v>
      </c>
    </row>
    <row r="2" spans="1:4" x14ac:dyDescent="0.25">
      <c r="A2" t="s">
        <v>91</v>
      </c>
      <c r="B2" s="14" t="s">
        <v>92</v>
      </c>
      <c r="C2">
        <f>HEX2DEC(1000)</f>
        <v>4096</v>
      </c>
      <c r="D2" t="s">
        <v>93</v>
      </c>
    </row>
    <row r="3" spans="1:4" x14ac:dyDescent="0.25">
      <c r="A3" t="s">
        <v>94</v>
      </c>
      <c r="B3" s="14" t="s">
        <v>95</v>
      </c>
      <c r="C3">
        <f>HEX2DEC(1001)</f>
        <v>4097</v>
      </c>
      <c r="D3" t="s">
        <v>96</v>
      </c>
    </row>
    <row r="4" spans="1:4" x14ac:dyDescent="0.25">
      <c r="A4" t="s">
        <v>97</v>
      </c>
      <c r="B4" s="14" t="s">
        <v>98</v>
      </c>
      <c r="C4">
        <f>HEX2DEC(1002)</f>
        <v>4098</v>
      </c>
      <c r="D4" t="s">
        <v>99</v>
      </c>
    </row>
    <row r="5" spans="1:4" x14ac:dyDescent="0.25">
      <c r="A5" t="s">
        <v>100</v>
      </c>
      <c r="B5" s="14" t="s">
        <v>101</v>
      </c>
      <c r="C5">
        <f>HEX2DEC(1003)</f>
        <v>4099</v>
      </c>
      <c r="D5" t="s">
        <v>102</v>
      </c>
    </row>
    <row r="6" spans="1:4" x14ac:dyDescent="0.25">
      <c r="A6" t="s">
        <v>103</v>
      </c>
      <c r="B6" s="14" t="s">
        <v>104</v>
      </c>
      <c r="C6">
        <f>HEX2DEC(1004)</f>
        <v>4100</v>
      </c>
      <c r="D6" t="s">
        <v>105</v>
      </c>
    </row>
    <row r="7" spans="1:4" x14ac:dyDescent="0.25">
      <c r="A7" t="s">
        <v>106</v>
      </c>
      <c r="B7" s="14" t="s">
        <v>107</v>
      </c>
      <c r="C7">
        <f>HEX2DEC(1005)</f>
        <v>4101</v>
      </c>
      <c r="D7" t="s">
        <v>108</v>
      </c>
    </row>
    <row r="8" spans="1:4" x14ac:dyDescent="0.25">
      <c r="A8" t="s">
        <v>109</v>
      </c>
      <c r="B8" s="14" t="s">
        <v>110</v>
      </c>
      <c r="C8">
        <f>HEX2DEC(1006)</f>
        <v>4102</v>
      </c>
      <c r="D8" t="s">
        <v>111</v>
      </c>
    </row>
    <row r="9" spans="1:4" x14ac:dyDescent="0.25">
      <c r="A9" t="s">
        <v>112</v>
      </c>
      <c r="B9" s="14" t="s">
        <v>113</v>
      </c>
      <c r="C9">
        <f>HEX2DEC(1007)</f>
        <v>4103</v>
      </c>
      <c r="D9" t="s">
        <v>114</v>
      </c>
    </row>
    <row r="10" spans="1:4" x14ac:dyDescent="0.25">
      <c r="A10" t="s">
        <v>115</v>
      </c>
      <c r="B10" s="14" t="s">
        <v>116</v>
      </c>
      <c r="C10">
        <f>HEX2DEC(1008)</f>
        <v>4104</v>
      </c>
      <c r="D10" t="s">
        <v>117</v>
      </c>
    </row>
    <row r="11" spans="1:4" x14ac:dyDescent="0.25">
      <c r="A11" t="s">
        <v>118</v>
      </c>
      <c r="B11" s="14" t="s">
        <v>119</v>
      </c>
      <c r="C11">
        <f>HEX2DEC(1009)</f>
        <v>4105</v>
      </c>
      <c r="D11" t="s">
        <v>120</v>
      </c>
    </row>
    <row r="12" spans="1:4" x14ac:dyDescent="0.25">
      <c r="A12" t="s">
        <v>121</v>
      </c>
      <c r="B12" s="14" t="s">
        <v>122</v>
      </c>
      <c r="C12">
        <f>HEX2DEC(1010)</f>
        <v>4112</v>
      </c>
      <c r="D12" t="s">
        <v>123</v>
      </c>
    </row>
    <row r="13" spans="1:4" x14ac:dyDescent="0.25">
      <c r="A13" t="s">
        <v>124</v>
      </c>
      <c r="B13" s="14" t="s">
        <v>125</v>
      </c>
      <c r="C13">
        <f>HEX2DEC(1011)</f>
        <v>4113</v>
      </c>
      <c r="D13" t="s">
        <v>126</v>
      </c>
    </row>
    <row r="14" spans="1:4" x14ac:dyDescent="0.25">
      <c r="A14" t="s">
        <v>127</v>
      </c>
      <c r="B14" t="s">
        <v>128</v>
      </c>
      <c r="C14">
        <f>HEX2DEC(1012)</f>
        <v>4114</v>
      </c>
      <c r="D14" t="s">
        <v>129</v>
      </c>
    </row>
    <row r="15" spans="1:4" x14ac:dyDescent="0.25">
      <c r="A15" t="s">
        <v>130</v>
      </c>
      <c r="B15" t="s">
        <v>131</v>
      </c>
      <c r="C15">
        <f>HEX2DEC(1013)</f>
        <v>4115</v>
      </c>
      <c r="D15" t="s">
        <v>132</v>
      </c>
    </row>
    <row r="16" spans="1:4" x14ac:dyDescent="0.25">
      <c r="A16" t="s">
        <v>133</v>
      </c>
      <c r="B16" s="14" t="s">
        <v>134</v>
      </c>
      <c r="C16">
        <f>HEX2DEC(1014)</f>
        <v>4116</v>
      </c>
      <c r="D16" t="s">
        <v>135</v>
      </c>
    </row>
    <row r="17" spans="1:4" x14ac:dyDescent="0.25">
      <c r="A17" t="s">
        <v>136</v>
      </c>
      <c r="B17" t="s">
        <v>137</v>
      </c>
      <c r="C17">
        <f>HEX2DEC(1015)</f>
        <v>4117</v>
      </c>
      <c r="D17" t="s">
        <v>138</v>
      </c>
    </row>
    <row r="18" spans="1:4" x14ac:dyDescent="0.25">
      <c r="A18" t="s">
        <v>139</v>
      </c>
      <c r="B18" s="14" t="s">
        <v>140</v>
      </c>
      <c r="C18">
        <v>4118</v>
      </c>
      <c r="D18" t="s">
        <v>141</v>
      </c>
    </row>
    <row r="19" spans="1:4" x14ac:dyDescent="0.25">
      <c r="A19" t="s">
        <v>142</v>
      </c>
      <c r="B19" s="14" t="s">
        <v>143</v>
      </c>
      <c r="C19">
        <v>4119</v>
      </c>
    </row>
    <row r="20" spans="1:4" x14ac:dyDescent="0.25">
      <c r="A20" t="s">
        <v>144</v>
      </c>
      <c r="B20" s="14" t="s">
        <v>145</v>
      </c>
      <c r="C20">
        <v>4120</v>
      </c>
      <c r="D20" t="s">
        <v>146</v>
      </c>
    </row>
    <row r="21" spans="1:4" x14ac:dyDescent="0.25">
      <c r="A21" t="s">
        <v>147</v>
      </c>
      <c r="B21" s="14" t="s">
        <v>148</v>
      </c>
      <c r="C21">
        <v>4121</v>
      </c>
      <c r="D21" t="s">
        <v>149</v>
      </c>
    </row>
    <row r="22" spans="1:4" x14ac:dyDescent="0.25">
      <c r="A22" t="s">
        <v>150</v>
      </c>
      <c r="B22" s="14" t="s">
        <v>151</v>
      </c>
      <c r="C22">
        <f>HEX2DEC(1020)</f>
        <v>4128</v>
      </c>
      <c r="D22" t="s">
        <v>152</v>
      </c>
    </row>
  </sheetData>
  <phoneticPr fontId="4" type="noConversion"/>
  <pageMargins left="0.75" right="0.75" top="1" bottom="1" header="0.51180555555555596" footer="0.51180555555555596"/>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Function description</vt:lpstr>
      <vt:lpstr>file format</vt:lpstr>
      <vt:lpstr>data format</vt:lpstr>
      <vt:lpstr>constant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sword</dc:creator>
  <cp:lastModifiedBy>JWM-010</cp:lastModifiedBy>
  <dcterms:created xsi:type="dcterms:W3CDTF">2016-05-06T01:48:00Z</dcterms:created>
  <dcterms:modified xsi:type="dcterms:W3CDTF">2021-02-20T00:38:44Z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2052-11.1.0.9208</vt:lpwstr>
  </property>
</Properties>
</file>